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_type_best12_models" sheetId="1" r:id="rId4"/>
    <sheet state="visible" name="Pivot Table 5" sheetId="2" r:id="rId5"/>
    <sheet state="visible" name="issue_category_best12_models" sheetId="3" r:id="rId6"/>
    <sheet state="visible" name="Pivot Table 4" sheetId="4" r:id="rId7"/>
    <sheet state="visible" name="issue_type_prompting" sheetId="5" r:id="rId8"/>
    <sheet state="visible" name="issue_category_prompting" sheetId="6" r:id="rId9"/>
    <sheet state="visible" name="issue_types_plms" sheetId="7" r:id="rId10"/>
    <sheet state="visible" name="issue_category_plms" sheetId="8" r:id="rId11"/>
    <sheet state="visible" name="Pivot Table 3" sheetId="9" r:id="rId12"/>
  </sheets>
  <definedNames>
    <definedName hidden="1" localSheetId="0" name="_xlnm._FilterDatabase">issue_type_best12_models!$A$1:$O$37</definedName>
    <definedName hidden="1" localSheetId="2" name="_xlnm._FilterDatabase">issue_category_best12_models!$A$1:$M$205</definedName>
    <definedName hidden="1" localSheetId="7" name="_xlnm._FilterDatabase">issue_category_plms!$A$1:$M$137</definedName>
  </definedNames>
  <calcPr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<sst xmlns="http://schemas.openxmlformats.org/spreadsheetml/2006/main" count="1638" uniqueCount="98">
  <si>
    <t>issue_type</t>
  </si>
  <si>
    <t>Model</t>
  </si>
  <si>
    <t># of Comments</t>
  </si>
  <si>
    <t>Precision</t>
  </si>
  <si>
    <t>Recall</t>
  </si>
  <si>
    <t>F1</t>
  </si>
  <si>
    <t>task vs defect</t>
  </si>
  <si>
    <t>task vs enhancement</t>
  </si>
  <si>
    <t>Best?</t>
  </si>
  <si>
    <t>TP</t>
  </si>
  <si>
    <t>FP</t>
  </si>
  <si>
    <t>TN</t>
  </si>
  <si>
    <t>FN</t>
  </si>
  <si>
    <t>Accuracy</t>
  </si>
  <si>
    <t>F2</t>
  </si>
  <si>
    <t>defect</t>
  </si>
  <si>
    <t>BERT</t>
  </si>
  <si>
    <t>enhancement</t>
  </si>
  <si>
    <t>task</t>
  </si>
  <si>
    <t>Decision_Tree</t>
  </si>
  <si>
    <t>DistilBERT</t>
  </si>
  <si>
    <t>K_Nearest_Neighbors</t>
  </si>
  <si>
    <t>LLAMA-FT</t>
  </si>
  <si>
    <t>Llama-Prompt</t>
  </si>
  <si>
    <t>Logistic_Regression</t>
  </si>
  <si>
    <t>Naive_Bayes</t>
  </si>
  <si>
    <t>Random_Forest</t>
  </si>
  <si>
    <t>RoBERTa</t>
  </si>
  <si>
    <t>SVC</t>
  </si>
  <si>
    <t>XLNet</t>
  </si>
  <si>
    <t>SOL is easier to identify for tasks type issues</t>
  </si>
  <si>
    <t>- Among the 12 models with the best configs, F1 score is the highest
- tasks --&gt; 8 models
- defects --&gt; 3 models
- enhancement --&gt; 1 model</t>
  </si>
  <si>
    <t>- On average, tasks show 
- 6.39% F1 score improvement than defect
- 4.6% F1 score improvement than enhancement</t>
  </si>
  <si>
    <t>AVERAGE of Precision</t>
  </si>
  <si>
    <t>AVERAGE of Recall</t>
  </si>
  <si>
    <t>AVERAGE of F1</t>
  </si>
  <si>
    <t>Grand Total</t>
  </si>
  <si>
    <t>MLMs</t>
  </si>
  <si>
    <t>PLMs</t>
  </si>
  <si>
    <t>LLMs</t>
  </si>
  <si>
    <t>issue_category</t>
  </si>
  <si>
    <t>Rank</t>
  </si>
  <si>
    <t>Audit Task</t>
  </si>
  <si>
    <t>Performance Optimization</t>
  </si>
  <si>
    <t>Technology Update</t>
  </si>
  <si>
    <t>Error Handling Improvement</t>
  </si>
  <si>
    <t>Flaky Tests</t>
  </si>
  <si>
    <t>Code Improvement</t>
  </si>
  <si>
    <t>Compatibility Issue</t>
  </si>
  <si>
    <t>Test Update</t>
  </si>
  <si>
    <t>Defective Functionality</t>
  </si>
  <si>
    <t>Feature Development</t>
  </si>
  <si>
    <t>UI Issue</t>
  </si>
  <si>
    <t>Code Design</t>
  </si>
  <si>
    <t>Preventive Changes</t>
  </si>
  <si>
    <t>Crash</t>
  </si>
  <si>
    <t>Test Failure</t>
  </si>
  <si>
    <t>Unnecessary Code Removal</t>
  </si>
  <si>
    <t>Incorrect Page Rendering</t>
  </si>
  <si>
    <t>All 12 Models with Best Config</t>
  </si>
  <si>
    <t>6 ML Model With Best Config</t>
  </si>
  <si>
    <t>AVERAGE of # of Comments</t>
  </si>
  <si>
    <t>AVERAGE of Rank</t>
  </si>
  <si>
    <t>MEDIAN of Rank</t>
  </si>
  <si>
    <t>4 PLMs with best configs</t>
  </si>
  <si>
    <t>Only LLAMA-FT</t>
  </si>
  <si>
    <t>2 LLMs with best config</t>
  </si>
  <si>
    <t>ZS_w/o_context</t>
  </si>
  <si>
    <t>ZS_w_context</t>
  </si>
  <si>
    <t>FS_4_exm_w/o_context</t>
  </si>
  <si>
    <t>FS_7_exm_w/o_context</t>
  </si>
  <si>
    <t>FS_4_exm_w_context</t>
  </si>
  <si>
    <t>FS_7_exm_w_context</t>
  </si>
  <si>
    <t>CoT_4xmpl_w/o_context</t>
  </si>
  <si>
    <t>CoT_7xmpl_w/o_context</t>
  </si>
  <si>
    <t>CoT_4xmpl_w_context</t>
  </si>
  <si>
    <t>CoT_7xmpl_w_context</t>
  </si>
  <si>
    <t>Incorrect page rendering</t>
  </si>
  <si>
    <t>Preventive changes</t>
  </si>
  <si>
    <t>BERT-OS</t>
  </si>
  <si>
    <t>BERT-NOS</t>
  </si>
  <si>
    <t>DistilBERT-OS</t>
  </si>
  <si>
    <t>DistilBERT-NOS</t>
  </si>
  <si>
    <t>RoBERTa-OS</t>
  </si>
  <si>
    <t>RoBERTa-NOS</t>
  </si>
  <si>
    <t>XLNet-OS</t>
  </si>
  <si>
    <t>XLNet-NOS</t>
  </si>
  <si>
    <t>Task is easier to predict than defect and enhancement for all models except XLNet-OS</t>
  </si>
  <si>
    <t>NOS</t>
  </si>
  <si>
    <t>OS</t>
  </si>
  <si>
    <t>Avg. Rank</t>
  </si>
  <si>
    <t>Avg. Precision</t>
  </si>
  <si>
    <t>Avg. Recall</t>
  </si>
  <si>
    <t>Avg. F1</t>
  </si>
  <si>
    <t># of config</t>
  </si>
  <si>
    <t>Avg. of Median</t>
  </si>
  <si>
    <t>Oversampling vs. No-oversampling
Create seperate tables</t>
  </si>
  <si>
    <t>Across each 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</si>
</sst>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Font="1" applyNumberFormat="1"/>
    <xf borderId="0" fillId="0" fontId="1" numFmtId="10" xfId="0" applyFont="1" applyNumberFormat="1"/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shrinkToFit="0" wrapText="1"/>
    </xf>
    <xf borderId="0" fillId="2" fontId="1" numFmtId="0" xfId="0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9" fontId="1" numFmtId="0" xfId="0" applyFill="1" applyFont="1"/>
    <xf borderId="0" fillId="10" fontId="1" numFmtId="0" xfId="0" applyFill="1" applyFont="1"/>
    <xf borderId="0" fillId="9" fontId="1" numFmtId="0" xfId="0" applyAlignment="1" applyFont="1">
      <alignment readingOrder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0" fillId="0" fontId="1" numFmtId="2" xfId="0" applyFont="1" applyNumberForma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37" sheet="issue_type_best12_models"/>
  </cacheSource>
  <cacheFields>
    <cacheField name="issue_type" numFmtId="0">
      <sharedItems>
        <s v="defect"/>
        <s v="enhancement"/>
        <s v="task"/>
      </sharedItems>
    </cacheField>
    <cacheField name="Model" numFmtId="0">
      <sharedItems>
        <s v="BERT"/>
        <s v="Decision_Tree"/>
        <s v="DistilBERT"/>
        <s v="K_Nearest_Neighbors"/>
        <s v="LLAMA-FT"/>
        <s v="Llama-Prompt"/>
        <s v="Logistic_Regression"/>
        <s v="Naive_Bayes"/>
        <s v="Random_Forest"/>
        <s v="RoBERTa"/>
        <s v="SVC"/>
        <s v="XLNet"/>
      </sharedItems>
    </cacheField>
    <cacheField name="# of Comments" numFmtId="0">
      <sharedItems containsSemiMixedTypes="0" containsString="0" containsNumber="1" containsInteger="1">
        <n v="4035.0"/>
        <n v="654.0"/>
        <n v="178.0"/>
      </sharedItems>
    </cacheField>
    <cacheField name="Precision" numFmtId="164">
      <sharedItems containsSemiMixedTypes="0" containsString="0" containsNumber="1">
        <n v="0.6823"/>
        <n v="0.7216"/>
        <n v="0.7407"/>
        <n v="0.505"/>
        <n v="0.5872"/>
        <n v="0.6522"/>
        <n v="0.6769"/>
        <n v="0.7065"/>
        <n v="0.6765"/>
        <n v="0.6698"/>
        <n v="0.7465"/>
        <n v="0.6333"/>
        <n v="0.6288"/>
        <n v="0.5976"/>
        <n v="0.6757"/>
        <n v="0.4049"/>
        <n v="0.4439"/>
        <n v="0.4694"/>
        <n v="0.5649"/>
        <n v="0.4881"/>
        <n v="0.4872"/>
        <n v="0.3266"/>
        <n v="0.3413"/>
        <n v="0.431"/>
        <n v="0.5738"/>
        <n v="0.6"/>
        <n v="0.6786"/>
        <n v="0.6662"/>
        <n v="0.7037"/>
        <n v="0.7273"/>
        <n v="0.6462"/>
        <n v="0.5591"/>
        <n v="0.5312"/>
        <n v="0.6147"/>
        <n v="0.6356"/>
        <n v="0.5625"/>
      </sharedItems>
    </cacheField>
    <cacheField name="Recall" numFmtId="164">
      <sharedItems containsSemiMixedTypes="0" containsString="0" containsNumber="1">
        <n v="0.6487"/>
        <n v="0.6364"/>
        <n v="0.6897"/>
        <n v="0.5439"/>
        <n v="0.5818"/>
        <n v="0.5172"/>
        <n v="0.6425"/>
        <n v="0.5909"/>
        <n v="0.7931"/>
        <n v="0.4438"/>
        <n v="0.4818"/>
        <n v="0.6552"/>
        <n v="0.8274"/>
        <n v="0.8909"/>
        <n v="0.8621"/>
        <n v="0.6687"/>
        <n v="0.7545"/>
        <n v="0.7643"/>
        <n v="0.7455"/>
        <n v="0.7966"/>
        <n v="0.7818"/>
        <n v="0.6287"/>
        <n v="0.6545"/>
        <n v="0.7103"/>
        <n v="0.6909"/>
        <n v="0.8276"/>
        <n v="0.7149"/>
        <n v="0.6455"/>
        <n v="0.5862"/>
        <n v="0.7227"/>
        <n v="0.6818"/>
        <n v="0.6207"/>
      </sharedItems>
    </cacheField>
    <cacheField name="F1" numFmtId="164">
      <sharedItems containsSemiMixedTypes="0" containsString="0" containsNumber="1">
        <n v="0.6651"/>
        <n v="0.6763"/>
        <n v="0.7143"/>
        <n v="0.5237"/>
        <n v="0.5845"/>
        <n v="0.5769"/>
        <n v="0.6593"/>
        <n v="0.6436"/>
        <n v="0.7302"/>
        <n v="0.5338"/>
        <n v="0.5856"/>
        <n v="0.6441"/>
        <n v="0.7146"/>
        <n v="0.7153"/>
        <n v="0.7576"/>
        <n v="0.5044"/>
        <n v="0.5589"/>
        <n v="0.5897"/>
        <n v="0.6496"/>
        <n v="0.5899"/>
        <n v="0.5588"/>
        <n v="0.4633"/>
        <n v="0.4751"/>
        <n v="0.5747"/>
        <n v="0.6"/>
        <n v="0.6261"/>
        <n v="0.6667"/>
        <n v="0.6875"/>
        <n v="0.6972"/>
        <n v="0.7742"/>
        <n v="0.6789"/>
        <n v="0.5992"/>
        <n v="0.5574"/>
        <n v="0.6643"/>
        <n v="0.6579"/>
        <n v="0.5902"/>
      </sharedItems>
    </cacheField>
    <cacheField name="task vs defect" numFmtId="0">
      <sharedItems containsString="0" containsBlank="1" containsNumber="1">
        <m/>
        <n v="0.07397383852052326"/>
        <n v="0.10158487683788411"/>
        <n v="0.10753829819505531"/>
        <n v="0.2066316972648931"/>
        <n v="0.06017352364959423"/>
        <n v="0.1691118160190326"/>
        <n v="-0.13977832512315272"/>
        <n v="0.240448953162098"/>
        <n v="0.11116666666666664"/>
        <n v="0.12610909090909092"/>
        <n v="-0.17896597437030484"/>
        <n v="-0.1115459882583171"/>
      </sharedItems>
    </cacheField>
    <cacheField name="task vs enhancement" numFmtId="0">
      <sharedItems containsString="0" containsBlank="1" containsNumber="1">
        <m/>
        <n v="0.056188082212036125"/>
        <n v="-0.013002566295979557"/>
        <n v="0.13455562461156"/>
        <n v="0.09989754098360655"/>
        <n v="0.05913602684188453"/>
        <n v="0.05510824834496342"/>
        <n v="-0.05272080013561624"/>
        <n v="0.20964007577352128"/>
        <n v="0.06484587126657079"/>
        <n v="0.11044176706827302"/>
        <n v="-0.0697596795727636"/>
        <n v="-0.10290317677458594"/>
      </sharedItems>
    </cacheField>
    <cacheField name="Best?" numFmtId="0">
      <sharedItems containsString="0" containsBlank="1" containsNumber="1" containsInteger="1">
        <m/>
        <n v="1.0"/>
      </sharedItems>
    </cacheField>
    <cacheField name="TP" numFmtId="0">
      <sharedItems containsSemiMixedTypes="0" containsString="0" containsNumber="1" containsInteger="1">
        <n v="421.0"/>
        <n v="70.0"/>
        <n v="20.0"/>
        <n v="353.0"/>
        <n v="64.0"/>
        <n v="15.0"/>
        <n v="417.0"/>
        <n v="65.0"/>
        <n v="23.0"/>
        <n v="288.0"/>
        <n v="53.0"/>
        <n v="19.0"/>
        <n v="537.0"/>
        <n v="98.0"/>
        <n v="25.0"/>
        <n v="434.0"/>
        <n v="83.0"/>
        <n v="496.0"/>
        <n v="82.0"/>
        <n v="517.0"/>
        <n v="86.0"/>
        <n v="408.0"/>
        <n v="72.0"/>
        <n v="461.0"/>
        <n v="76.0"/>
        <n v="24.0"/>
        <n v="464.0"/>
        <n v="71.0"/>
        <n v="17.0"/>
        <n v="469.0"/>
        <n v="75.0"/>
        <n v="18.0"/>
      </sharedItems>
    </cacheField>
    <cacheField name="FP" numFmtId="0">
      <sharedItems containsSemiMixedTypes="0" containsString="0" containsNumber="1" containsInteger="1">
        <n v="196.0"/>
        <n v="27.0"/>
        <n v="7.0"/>
        <n v="346.0"/>
        <n v="45.0"/>
        <n v="8.0"/>
        <n v="199.0"/>
        <n v="11.0"/>
        <n v="142.0"/>
        <n v="18.0"/>
        <n v="317.0"/>
        <n v="66.0"/>
        <n v="12.0"/>
        <n v="638.0"/>
        <n v="104.0"/>
        <n v="26.0"/>
        <n v="382.0"/>
        <n v="86.0"/>
        <n v="20.0"/>
        <n v="1066.0"/>
        <n v="166.0"/>
        <n v="33.0"/>
        <n v="303.0"/>
        <n v="48.0"/>
        <n v="9.0"/>
        <n v="231.0"/>
        <n v="32.0"/>
        <n v="254.0"/>
        <n v="56.0"/>
        <n v="15.0"/>
        <n v="294.0"/>
        <n v="43.0"/>
        <n v="14.0"/>
      </sharedItems>
    </cacheField>
    <cacheField name="TN" numFmtId="0">
      <sharedItems containsSemiMixedTypes="0" containsString="0" containsNumber="1" containsInteger="1">
        <n v="3190.0"/>
        <n v="517.0"/>
        <n v="142.0"/>
        <n v="3040.0"/>
        <n v="499.0"/>
        <n v="141.0"/>
        <n v="3187.0"/>
        <n v="138.0"/>
        <n v="3244.0"/>
        <n v="526.0"/>
        <n v="3069.0"/>
        <n v="478.0"/>
        <n v="137.0"/>
        <n v="2748.0"/>
        <n v="440.0"/>
        <n v="123.0"/>
        <n v="3004.0"/>
        <n v="458.0"/>
        <n v="129.0"/>
        <n v="2320.0"/>
        <n v="378.0"/>
        <n v="116.0"/>
        <n v="3083.0"/>
        <n v="496.0"/>
        <n v="140.0"/>
        <n v="3155.0"/>
        <n v="512.0"/>
        <n v="3132.0"/>
        <n v="488.0"/>
        <n v="134.0"/>
        <n v="3092.0"/>
        <n v="501.0"/>
        <n v="135.0"/>
      </sharedItems>
    </cacheField>
    <cacheField name="FN" numFmtId="0">
      <sharedItems containsSemiMixedTypes="0" containsString="0" containsNumber="1" containsInteger="1">
        <n v="228.0"/>
        <n v="40.0"/>
        <n v="9.0"/>
        <n v="296.0"/>
        <n v="46.0"/>
        <n v="14.0"/>
        <n v="232.0"/>
        <n v="45.0"/>
        <n v="6.0"/>
        <n v="361.0"/>
        <n v="57.0"/>
        <n v="10.0"/>
        <n v="112.0"/>
        <n v="12.0"/>
        <n v="4.0"/>
        <n v="215.0"/>
        <n v="27.0"/>
        <n v="153.0"/>
        <n v="28.0"/>
        <n v="132.0"/>
        <n v="24.0"/>
        <n v="241.0"/>
        <n v="38.0"/>
        <n v="188.0"/>
        <n v="34.0"/>
        <n v="5.0"/>
        <n v="185.0"/>
        <n v="39.0"/>
        <n v="180.0"/>
        <n v="35.0"/>
        <n v="11.0"/>
      </sharedItems>
    </cacheField>
    <cacheField name="Accuracy" numFmtId="0">
      <sharedItems containsSemiMixedTypes="0" containsString="0" containsNumber="1">
        <n v="0.8949"/>
        <n v="0.8976"/>
        <n v="0.9101"/>
        <n v="0.8409"/>
        <n v="0.8609"/>
        <n v="0.8764"/>
        <n v="0.8932"/>
        <n v="0.8899"/>
        <n v="0.9045"/>
        <n v="0.8753"/>
        <n v="0.8853"/>
        <n v="0.882"/>
        <n v="0.8937"/>
        <n v="0.8807"/>
        <n v="0.7886"/>
        <n v="0.7997"/>
        <n v="0.8202"/>
        <n v="0.8674"/>
        <n v="0.8257"/>
        <n v="0.8315"/>
        <n v="0.7031"/>
        <n v="0.7095"/>
        <n v="0.7921"/>
        <n v="0.8652"/>
        <n v="0.8685"/>
        <n v="0.8933"/>
        <n v="0.8962"/>
        <n v="0.8991"/>
        <n v="0.9213"/>
        <n v="0.8912"/>
        <n v="0.8547"/>
        <n v="0.8483"/>
        <n v="0.8825"/>
        <n v="0.8596"/>
      </sharedItems>
    </cacheField>
    <cacheField name="F2" numFmtId="0">
      <sharedItems containsSemiMixedTypes="0" containsString="0" containsNumber="1">
        <n v="0.6552"/>
        <n v="0.6518"/>
        <n v="0.6993"/>
        <n v="0.5357"/>
        <n v="0.5829"/>
        <n v="0.5396"/>
        <n v="0.6491"/>
        <n v="0.6109"/>
        <n v="0.7667"/>
        <n v="0.4759"/>
        <n v="0.5186"/>
        <n v="0.6507"/>
        <n v="0.7783"/>
        <n v="0.8113"/>
        <n v="0.817"/>
        <n v="0.5916"/>
        <n v="0.6619"/>
        <n v="0.697"/>
        <n v="0.7139"/>
        <n v="0.6743"/>
        <n v="0.6129"/>
        <n v="0.6186"/>
        <n v="0.6214"/>
        <n v="0.7184"/>
        <n v="0.6169"/>
        <n v="0.6429"/>
        <n v="0.6597"/>
        <n v="0.701"/>
        <n v="0.6934"/>
        <n v="0.8054"/>
        <n v="0.7001"/>
        <n v="0.6261"/>
        <n v="0.5743"/>
        <n v="0.6981"/>
        <n v="0.672"/>
        <n v="0.608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05" sheet="issue_category_best12_models"/>
  </cacheSource>
  <cacheFields>
    <cacheField name="issue_category" numFmtId="0">
      <sharedItems>
        <s v="Audit Task"/>
        <s v="Performance Optimization"/>
        <s v="Technology Update"/>
        <s v="Error Handling Improvement"/>
        <s v="Flaky Tests"/>
        <s v="Code Improvement"/>
        <s v="Compatibility Issue"/>
        <s v="Test Update"/>
        <s v="Defective Functionality"/>
        <s v="Feature Development"/>
        <s v="UI Issue"/>
        <s v="Code Design"/>
        <s v="Preventive Changes"/>
        <s v="Crash"/>
        <s v="Test Failure"/>
        <s v="Unnecessary Code Removal"/>
        <s v="Incorrect Page Rendering"/>
      </sharedItems>
    </cacheField>
    <cacheField name="Model" numFmtId="0">
      <sharedItems>
        <s v="LLAMA-FT"/>
        <s v="RoBERTa"/>
        <s v="BERT"/>
        <s v="DistilBERT"/>
        <s v="XLNet"/>
        <s v="Llama-Prompt"/>
        <s v="Decision_Tree"/>
        <s v="K_Nearest_Neighbors"/>
        <s v="Logistic_Regression"/>
        <s v="Naive_Bayes"/>
        <s v="Random_Forest"/>
        <s v="SVC"/>
      </sharedItems>
    </cacheField>
    <cacheField name="# of Comments" numFmtId="0">
      <sharedItems containsSemiMixedTypes="0" containsString="0" containsNumber="1" containsInteger="1">
        <n v="16.0"/>
        <n v="194.0"/>
        <n v="65.0"/>
        <n v="49.0"/>
        <n v="89.0"/>
        <n v="274.0"/>
        <n v="26.0"/>
        <n v="95.0"/>
        <n v="679.0"/>
        <n v="662.0"/>
        <n v="587.0"/>
        <n v="897.0"/>
        <n v="469.0"/>
        <n v="446.0"/>
        <n v="153.0"/>
        <n v="117.0"/>
      </sharedItems>
    </cacheField>
    <cacheField name="Precision" numFmtId="0">
      <sharedItems containsSemiMixedTypes="0" containsString="0" containsNumber="1">
        <n v="0.8571"/>
        <n v="0.7885"/>
        <n v="0.8"/>
        <n v="0.7143"/>
        <n v="0.6923"/>
        <n v="1.0"/>
        <n v="0.75"/>
        <n v="0.6583"/>
        <n v="0.6064"/>
        <n v="0.64"/>
        <n v="0.5941"/>
        <n v="0.5714"/>
        <n v="0.5362"/>
        <n v="0.6071"/>
        <n v="0.5"/>
        <n v="0.4667"/>
        <n v="0.9091"/>
        <n v="0.6949"/>
        <n v="0.7174"/>
        <n v="0.6906"/>
        <n v="0.7111"/>
        <n v="0.6474"/>
        <n v="0.6765"/>
        <n v="0.6129"/>
        <n v="0.5893"/>
        <n v="0.6739"/>
        <n v="0.4737"/>
        <n v="0.6667"/>
        <n v="0.9"/>
        <n v="0.7619"/>
        <n v="0.8333"/>
        <n v="0.6864"/>
        <n v="0.6769"/>
        <n v="0.5965"/>
        <n v="0.6522"/>
        <n v="0.6818"/>
        <n v="0.6279"/>
        <n v="0.7368"/>
        <n v="0.6784"/>
        <n v="0.6957"/>
        <n v="0.6932"/>
        <n v="0.675"/>
        <n v="0.5424"/>
        <n v="0.4286"/>
        <n v="0.8889"/>
        <n v="0.6515"/>
        <n v="0.7222"/>
        <n v="0.62"/>
        <n v="0.6"/>
        <n v="0.6017"/>
        <n v="0.5294"/>
        <n v="0.4783"/>
        <n v="0.3929"/>
        <n v="0.0"/>
        <n v="0.625"/>
        <n v="0.5217"/>
        <n v="0.473"/>
        <n v="0.4315"/>
        <n v="0.5455"/>
        <n v="0.4706"/>
        <n v="0.4406"/>
        <n v="0.3951"/>
        <n v="0.3926"/>
        <n v="0.381"/>
        <n v="0.2895"/>
        <n v="0.2743"/>
        <n v="0.1875"/>
        <n v="0.25"/>
        <n v="0.8182"/>
        <n v="0.6591"/>
        <n v="0.5833"/>
        <n v="0.5806"/>
        <n v="0.56"/>
        <n v="0.5359"/>
        <n v="0.5556"/>
        <n v="0.4771"/>
        <n v="0.375"/>
        <n v="0.3768"/>
        <n v="0.6364"/>
        <n v="0.3333"/>
        <n v="0.3158"/>
        <n v="0.2"/>
        <n v="0.9032"/>
        <n v="0.7692"/>
        <n v="0.6047"/>
        <n v="0.5909"/>
        <n v="0.6452"/>
        <n v="0.6774"/>
        <n v="0.6588"/>
        <n v="0.7018"/>
        <n v="0.7273"/>
        <n v="0.6607"/>
        <n v="0.5672"/>
        <n v="0.5521"/>
        <n v="0.5506"/>
        <n v="0.5769"/>
        <n v="0.5691"/>
        <n v="0.5484"/>
        <n v="0.5385"/>
        <n v="0.5154"/>
        <n v="0.4524"/>
        <n v="0.4615"/>
        <n v="0.4"/>
        <n v="0.45"/>
        <n v="0.4333"/>
        <n v="0.359"/>
        <n v="0.3377"/>
        <n v="0.4211"/>
        <n v="0.3301"/>
        <n v="0.2937"/>
        <n v="0.3265"/>
        <n v="0.2794"/>
        <n v="0.3028"/>
        <n v="0.2632"/>
        <n v="0.2609"/>
        <n v="0.1739"/>
        <n v="0.6275"/>
        <n v="0.5873"/>
        <n v="0.5924"/>
        <n v="0.5867"/>
        <n v="0.619"/>
        <n v="0.5152"/>
        <n v="0.5938"/>
        <n v="0.5417"/>
        <n v="0.5444"/>
        <n v="0.5625"/>
        <n v="0.3636"/>
        <n v="0.66"/>
        <n v="0.6875"/>
        <n v="0.6382"/>
        <n v="0.6271"/>
        <n v="0.6173"/>
        <n v="0.6226"/>
        <n v="0.6429"/>
        <n v="0.5278"/>
        <n v="0.55"/>
        <n v="0.5648"/>
      </sharedItems>
    </cacheField>
    <cacheField name="Recall" numFmtId="0">
      <sharedItems containsSemiMixedTypes="0" containsString="0" containsNumber="1">
        <n v="1.0"/>
        <n v="0.8913"/>
        <n v="0.8571"/>
        <n v="0.9091"/>
        <n v="0.8"/>
        <n v="0.9"/>
        <n v="0.6"/>
        <n v="0.75"/>
        <n v="0.8495"/>
        <n v="0.8702"/>
        <n v="0.8452"/>
        <n v="0.8409"/>
        <n v="0.7083"/>
        <n v="0.8235"/>
        <n v="0.7143"/>
        <n v="0.7273"/>
        <n v="0.82"/>
        <n v="0.7097"/>
        <n v="0.7328"/>
        <n v="0.6957"/>
        <n v="0.7321"/>
        <n v="0.69"/>
        <n v="0.76"/>
        <n v="0.6458"/>
        <n v="0.5294"/>
        <n v="0.3333"/>
        <n v="0.8182"/>
        <n v="0.6667"/>
        <n v="0.66"/>
        <n v="0.6905"/>
        <n v="0.6718"/>
        <n v="0.7727"/>
        <n v="0.5806"/>
        <n v="0.625"/>
        <n v="0.587"/>
        <n v="0.4118"/>
        <n v="0.2"/>
        <n v="0.6429"/>
        <n v="0.7"/>
        <n v="0.72"/>
        <n v="0.6129"/>
        <n v="0.61"/>
        <n v="0.6183"/>
        <n v="0.3529"/>
        <n v="0.86"/>
        <n v="0.6989"/>
        <n v="0.7391"/>
        <n v="0.7099"/>
        <n v="0.71"/>
        <n v="0.6471"/>
        <n v="0.0"/>
        <n v="0.8333"/>
        <n v="0.7826"/>
        <n v="0.7292"/>
        <n v="0.5455"/>
        <n v="0.64"/>
        <n v="0.6794"/>
        <n v="0.6882"/>
        <n v="0.5"/>
        <n v="0.45"/>
        <n v="0.7045"/>
        <n v="0.58"/>
        <n v="0.6087"/>
        <n v="0.5496"/>
        <n v="0.56"/>
        <n v="0.5774"/>
        <n v="0.4545"/>
        <n v="0.52"/>
        <n v="0.5909"/>
        <n v="0.35"/>
        <n v="0.4"/>
        <n v="0.5714"/>
        <n v="0.4762"/>
        <n v="0.4516"/>
        <n v="0.4275"/>
        <n v="0.3478"/>
        <n v="0.1765"/>
        <n v="0.8043"/>
        <n v="0.8636"/>
        <n v="0.8092"/>
        <n v="0.8095"/>
        <n v="0.7527"/>
        <n v="0.6364"/>
        <n v="0.67"/>
        <n v="0.7059"/>
        <n v="0.8261"/>
        <n v="0.65"/>
        <n v="0.855"/>
        <n v="0.9226"/>
        <n v="0.7312"/>
        <n v="0.84"/>
        <n v="0.6875"/>
        <n v="0.74"/>
        <n v="0.6845"/>
        <n v="0.5652"/>
        <n v="0.68"/>
        <n v="0.57"/>
        <n v="0.5417"/>
        <n v="0.5269"/>
        <n v="0.4706"/>
        <n v="0.6774"/>
        <n v="0.7174"/>
        <n v="0.7405"/>
        <n v="0.7202"/>
      </sharedItems>
    </cacheField>
    <cacheField name="F1" numFmtId="0">
      <sharedItems containsSemiMixedTypes="0" containsString="0" containsNumber="1">
        <n v="0.9231"/>
        <n v="0.8367"/>
        <n v="0.8276"/>
        <n v="0.8"/>
        <n v="0.7826"/>
        <n v="0.75"/>
        <n v="0.7418"/>
        <n v="0.7147"/>
        <n v="0.7111"/>
        <n v="0.6978"/>
        <n v="0.6667"/>
        <n v="0.6549"/>
        <n v="0.6538"/>
        <n v="0.6154"/>
        <n v="0.5957"/>
        <n v="0.7619"/>
        <n v="0.7523"/>
        <n v="0.7135"/>
        <n v="0.7033"/>
        <n v="0.6872"/>
        <n v="0.6857"/>
        <n v="0.6832"/>
        <n v="0.6786"/>
        <n v="0.66"/>
        <n v="0.6596"/>
        <n v="0.5455"/>
        <n v="0.5"/>
        <n v="0.4444"/>
        <n v="0.8571"/>
        <n v="0.7805"/>
        <n v="0.7692"/>
        <n v="0.7273"/>
        <n v="0.7021"/>
        <n v="0.6884"/>
        <n v="0.6743"/>
        <n v="0.6733"/>
        <n v="0.6545"/>
        <n v="0.6522"/>
        <n v="0.6383"/>
        <n v="0.6067"/>
        <n v="0.4375"/>
        <n v="0.2857"/>
        <n v="0.7179"/>
        <n v="0.7059"/>
        <n v="0.6844"/>
        <n v="0.6809"/>
        <n v="0.6746"/>
        <n v="0.6489"/>
        <n v="0.6454"/>
        <n v="0.6279"/>
        <n v="0.625"/>
        <n v="0.6214"/>
        <n v="0.3871"/>
        <n v="0.7414"/>
        <n v="0.7104"/>
        <n v="0.701"/>
        <n v="0.6923"/>
        <n v="0.6619"/>
        <n v="0.6531"/>
        <n v="0.6514"/>
        <n v="0.6102"/>
        <n v="0.5841"/>
        <n v="0.4889"/>
        <n v="0.0"/>
        <n v="0.7143"/>
        <n v="0.6261"/>
        <n v="0.5738"/>
        <n v="0.5478"/>
        <n v="0.5424"/>
        <n v="0.5345"/>
        <n v="0.502"/>
        <n v="0.4867"/>
        <n v="0.4828"/>
        <n v="0.4776"/>
        <n v="0.439"/>
        <n v="0.4"/>
        <n v="0.3949"/>
        <n v="0.2222"/>
        <n v="0.72"/>
        <n v="0.617"/>
        <n v="0.5647"/>
        <n v="0.56"/>
        <n v="0.5559"/>
        <n v="0.5373"/>
        <n v="0.4976"/>
        <n v="0.4848"/>
        <n v="0.4615"/>
        <n v="0.4602"/>
        <n v="0.4516"/>
        <n v="0.3636"/>
        <n v="0.3333"/>
        <n v="0.2"/>
        <n v="0.6957"/>
        <n v="0.6914"/>
        <n v="0.6061"/>
        <n v="0.6"/>
        <n v="0.5977"/>
        <n v="0.5714"/>
        <n v="0.5532"/>
        <n v="0.5479"/>
        <n v="0.5419"/>
        <n v="0.5185"/>
        <n v="0.5096"/>
        <n v="0.4706"/>
        <n v="0.25"/>
        <n v="0.7255"/>
        <n v="0.6847"/>
        <n v="0.6563"/>
        <n v="0.6554"/>
        <n v="0.6481"/>
        <n v="0.6364"/>
        <n v="0.6182"/>
        <n v="0.6087"/>
        <n v="0.5826"/>
        <n v="0.5672"/>
        <n v="0.5581"/>
        <n v="0.5333"/>
        <n v="0.5806"/>
        <n v="0.539"/>
        <n v="0.52"/>
        <n v="0.5056"/>
        <n v="0.4944"/>
        <n v="0.4548"/>
        <n v="0.4352"/>
        <n v="0.4324"/>
        <n v="0.4222"/>
        <n v="0.4204"/>
        <n v="0.396"/>
        <n v="0.381"/>
        <n v="0.8333"/>
        <n v="0.6737"/>
        <n v="0.6458"/>
        <n v="0.6319"/>
        <n v="0.5909"/>
        <n v="0.5862"/>
        <n v="0.5816"/>
        <n v="0.5417"/>
        <n v="0.5355"/>
        <n v="0.4103"/>
        <n v="0.7119"/>
        <n v="0.6855"/>
        <n v="0.6818"/>
        <n v="0.6789"/>
        <n v="0.6648"/>
        <n v="0.6535"/>
        <n v="0.6429"/>
        <n v="0.623"/>
        <n v="0.5946"/>
        <n v="0.5865"/>
      </sharedItems>
    </cacheField>
    <cacheField name="Rank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</sharedItems>
    </cacheField>
    <cacheField name="TP" numFmtId="0">
      <sharedItems containsSemiMixedTypes="0" containsString="0" containsNumber="1" containsInteger="1">
        <n v="6.0"/>
        <n v="41.0"/>
        <n v="12.0"/>
        <n v="10.0"/>
        <n v="4.0"/>
        <n v="45.0"/>
        <n v="3.0"/>
        <n v="15.0"/>
        <n v="79.0"/>
        <n v="114.0"/>
        <n v="80.0"/>
        <n v="142.0"/>
        <n v="37.0"/>
        <n v="34.0"/>
        <n v="20.0"/>
        <n v="14.0"/>
        <n v="8.0"/>
        <n v="66.0"/>
        <n v="96.0"/>
        <n v="32.0"/>
        <n v="123.0"/>
        <n v="69.0"/>
        <n v="19.0"/>
        <n v="33.0"/>
        <n v="31.0"/>
        <n v="9.0"/>
        <n v="2.0"/>
        <n v="16.0"/>
        <n v="116.0"/>
        <n v="88.0"/>
        <n v="54.0"/>
        <n v="60.0"/>
        <n v="30.0"/>
        <n v="27.0"/>
        <n v="7.0"/>
        <n v="1.0"/>
        <n v="36.0"/>
        <n v="57.0"/>
        <n v="61.0"/>
        <n v="81.0"/>
        <n v="43.0"/>
        <n v="65.0"/>
        <n v="93.0"/>
        <n v="120.0"/>
        <n v="71.0"/>
        <n v="18.0"/>
        <n v="11.0"/>
        <n v="0.0"/>
        <n v="5.0"/>
        <n v="35.0"/>
        <n v="126.0"/>
        <n v="89.0"/>
        <n v="64.0"/>
        <n v="29.0"/>
        <n v="28.0"/>
        <n v="72.0"/>
        <n v="97.0"/>
        <n v="52.0"/>
        <n v="24.0"/>
        <n v="26.0"/>
        <n v="13.0"/>
        <n v="42.0"/>
        <n v="56.0"/>
        <n v="40.0"/>
        <n v="38.0"/>
        <n v="106.0"/>
        <n v="136.0"/>
        <n v="70.0"/>
        <n v="67.0"/>
        <n v="112.0"/>
        <n v="155.0"/>
        <n v="68.0"/>
        <n v="115.0"/>
        <n v="17.0"/>
        <n v="49.0"/>
        <n v="63.0"/>
        <n v="121.0"/>
      </sharedItems>
    </cacheField>
    <cacheField name="FP" numFmtId="0">
      <sharedItems containsSemiMixedTypes="0" containsString="0" containsNumber="1" containsInteger="1">
        <n v="1.0"/>
        <n v="11.0"/>
        <n v="3.0"/>
        <n v="4.0"/>
        <n v="20.0"/>
        <n v="0.0"/>
        <n v="5.0"/>
        <n v="41.0"/>
        <n v="74.0"/>
        <n v="45.0"/>
        <n v="97.0"/>
        <n v="32.0"/>
        <n v="22.0"/>
        <n v="16.0"/>
        <n v="2.0"/>
        <n v="18.0"/>
        <n v="26.0"/>
        <n v="43.0"/>
        <n v="13.0"/>
        <n v="67.0"/>
        <n v="33.0"/>
        <n v="12.0"/>
        <n v="23.0"/>
        <n v="15.0"/>
        <n v="10.0"/>
        <n v="53.0"/>
        <n v="42.0"/>
        <n v="24.0"/>
        <n v="7.0"/>
        <n v="8.0"/>
        <n v="55.0"/>
        <n v="14.0"/>
        <n v="19.0"/>
        <n v="27.0"/>
        <n v="39.0"/>
        <n v="25.0"/>
        <n v="17.0"/>
        <n v="57.0"/>
        <n v="80.0"/>
        <n v="47.0"/>
        <n v="36.0"/>
        <n v="166.0"/>
        <n v="113.0"/>
        <n v="98.0"/>
        <n v="99.0"/>
        <n v="82.0"/>
        <n v="52.0"/>
        <n v="84.0"/>
        <n v="54.0"/>
        <n v="9.0"/>
        <n v="44.0"/>
        <n v="29.0"/>
        <n v="6.0"/>
        <n v="86.0"/>
        <n v="111.0"/>
        <n v="28.0"/>
        <n v="30.0"/>
        <n v="63.0"/>
        <n v="200.0"/>
        <n v="304.0"/>
        <n v="138.0"/>
        <n v="101.0"/>
        <n v="132.0"/>
        <n v="76.0"/>
        <n v="56.0"/>
        <n v="34.0"/>
        <n v="64.0"/>
        <n v="81.0"/>
        <n v="21.0"/>
        <n v="75.0"/>
      </sharedItems>
    </cacheField>
    <cacheField name="TN" numFmtId="0">
      <sharedItems containsSemiMixedTypes="0" containsString="0" containsNumber="1" containsInteger="1">
        <n v="9.0"/>
        <n v="137.0"/>
        <n v="48.0"/>
        <n v="34.0"/>
        <n v="83.0"/>
        <n v="204.0"/>
        <n v="21.0"/>
        <n v="70.0"/>
        <n v="545.0"/>
        <n v="457.0"/>
        <n v="442.0"/>
        <n v="632.0"/>
        <n v="41.0"/>
        <n v="393.0"/>
        <n v="376.0"/>
        <n v="108.0"/>
        <n v="84.0"/>
        <n v="20.0"/>
        <n v="50.0"/>
        <n v="36.0"/>
        <n v="206.0"/>
        <n v="560.0"/>
        <n v="488.0"/>
        <n v="135.0"/>
        <n v="662.0"/>
        <n v="72.0"/>
        <n v="454.0"/>
        <n v="116.0"/>
        <n v="402.0"/>
        <n v="383.0"/>
        <n v="90.0"/>
        <n v="37.0"/>
        <n v="49.0"/>
        <n v="213.0"/>
        <n v="676.0"/>
        <n v="489.0"/>
        <n v="43.0"/>
        <n v="568.0"/>
        <n v="463.0"/>
        <n v="382.0"/>
        <n v="121.0"/>
        <n v="132.0"/>
        <n v="92.0"/>
        <n v="51.0"/>
        <n v="208.0"/>
        <n v="674.0"/>
        <n v="384.0"/>
        <n v="567.0"/>
        <n v="460.0"/>
        <n v="492.0"/>
        <n v="120.0"/>
        <n v="398.0"/>
        <n v="10.0"/>
        <n v="201.0"/>
        <n v="19.0"/>
        <n v="561.0"/>
        <n v="131.0"/>
        <n v="474.0"/>
        <n v="380.0"/>
        <n v="649.0"/>
        <n v="440.0"/>
        <n v="112.0"/>
        <n v="389.0"/>
        <n v="7.0"/>
        <n v="79.0"/>
        <n v="115.0"/>
        <n v="359.0"/>
        <n v="563.0"/>
        <n v="33.0"/>
        <n v="188.0"/>
        <n v="418.0"/>
        <n v="388.0"/>
        <n v="102.0"/>
        <n v="63.0"/>
        <n v="73.0"/>
        <n v="343.0"/>
        <n v="31.0"/>
        <n v="18.0"/>
        <n v="209.0"/>
        <n v="128.0"/>
        <n v="479.0"/>
        <n v="117.0"/>
        <n v="645.0"/>
        <n v="532.0"/>
        <n v="430.0"/>
        <n v="371.0"/>
        <n v="16.0"/>
        <n v="71.0"/>
        <n v="40.0"/>
        <n v="87.0"/>
        <n v="80.0"/>
        <n v="221.0"/>
        <n v="38.0"/>
        <n v="408.0"/>
        <n v="386.0"/>
        <n v="119.0"/>
        <n v="685.0"/>
        <n v="566.0"/>
        <n v="502.0"/>
        <n v="470.0"/>
        <n v="142.0"/>
        <n v="82.0"/>
        <n v="96.0"/>
        <n v="8.0"/>
        <n v="129.0"/>
        <n v="396.0"/>
        <n v="445.0"/>
        <n v="618.0"/>
        <n v="64.0"/>
        <n v="533.0"/>
        <n v="370.0"/>
        <n v="194.0"/>
        <n v="424.0"/>
        <n v="105.0"/>
        <n v="86.0"/>
        <n v="81.0"/>
        <n v="27.0"/>
        <n v="6.0"/>
        <n v="91.0"/>
        <n v="58.0"/>
        <n v="331.0"/>
        <n v="425.0"/>
        <n v="448.0"/>
        <n v="123.0"/>
        <n v="355.0"/>
        <n v="327.0"/>
        <n v="322.0"/>
        <n v="66.0"/>
        <n v="25.0"/>
        <n v="406.0"/>
        <n v="198.0"/>
        <n v="467.0"/>
        <n v="648.0"/>
        <n v="68.0"/>
        <n v="35.0"/>
        <n v="565.0"/>
        <n v="133.0"/>
        <n v="476.0"/>
        <n v="202.0"/>
        <n v="654.0"/>
        <n v="378.0"/>
        <n v="46.0"/>
        <n v="111.0"/>
      </sharedItems>
    </cacheField>
    <cacheField name="FN" numFmtId="0">
      <sharedItems containsSemiMixedTypes="0" containsString="0" containsNumber="1" containsInteger="1">
        <n v="0.0"/>
        <n v="5.0"/>
        <n v="2.0"/>
        <n v="1.0"/>
        <n v="14.0"/>
        <n v="17.0"/>
        <n v="20.0"/>
        <n v="26.0"/>
        <n v="7.0"/>
        <n v="3.0"/>
        <n v="4.0"/>
        <n v="9.0"/>
        <n v="27.0"/>
        <n v="35.0"/>
        <n v="45.0"/>
        <n v="8.0"/>
        <n v="31.0"/>
        <n v="6.0"/>
        <n v="11.0"/>
        <n v="52.0"/>
        <n v="43.0"/>
        <n v="10.0"/>
        <n v="39.0"/>
        <n v="40.0"/>
        <n v="18.0"/>
        <n v="19.0"/>
        <n v="16.0"/>
        <n v="36.0"/>
        <n v="50.0"/>
        <n v="12.0"/>
        <n v="28.0"/>
        <n v="38.0"/>
        <n v="48.0"/>
        <n v="29.0"/>
        <n v="13.0"/>
        <n v="42.0"/>
        <n v="21.0"/>
        <n v="59.0"/>
        <n v="71.0"/>
        <n v="24.0"/>
        <n v="22.0"/>
        <n v="88.0"/>
        <n v="51.0"/>
        <n v="75.0"/>
        <n v="60.0"/>
        <n v="30.0"/>
        <n v="25.0"/>
        <n v="32.0"/>
        <n v="23.0"/>
        <n v="15.0"/>
        <n v="33.0"/>
        <n v="53.0"/>
        <n v="44.0"/>
        <n v="34.0"/>
        <n v="47.0"/>
      </sharedItems>
    </cacheField>
    <cacheField name="Accuracy" numFmtId="0">
      <sharedItems containsSemiMixedTypes="0" containsString="0" containsNumber="1">
        <n v="0.9375"/>
        <n v="0.9175"/>
        <n v="0.9231"/>
        <n v="0.898"/>
        <n v="0.9775"/>
        <n v="0.9088"/>
        <n v="0.8947"/>
        <n v="0.919"/>
        <n v="0.8625"/>
        <n v="0.8893"/>
        <n v="0.8629"/>
        <n v="0.9184"/>
        <n v="0.9168"/>
        <n v="0.9193"/>
        <n v="0.8366"/>
        <n v="0.8376"/>
        <n v="0.9015"/>
        <n v="0.9219"/>
        <n v="0.8822"/>
        <n v="0.8608"/>
        <n v="0.8751"/>
        <n v="0.8842"/>
        <n v="0.891"/>
        <n v="0.8824"/>
        <n v="0.9663"/>
        <n v="0.9275"/>
        <n v="0.9283"/>
        <n v="0.8462"/>
        <n v="0.6875"/>
        <n v="0.9388"/>
        <n v="0.9053"/>
        <n v="0.9077"/>
        <n v="0.8125"/>
        <n v="0.8978"/>
        <n v="0.8829"/>
        <n v="0.8716"/>
        <n v="0.9296"/>
        <n v="0.9161"/>
        <n v="0.9238"/>
        <n v="0.8889"/>
        <n v="0.8196"/>
        <n v="0.9438"/>
        <n v="0.8905"/>
        <n v="0.8807"/>
        <n v="0.9327"/>
        <n v="0.8876"/>
        <n v="0.8656"/>
        <n v="0.8351"/>
        <n v="0.75"/>
        <n v="0.8846"/>
        <n v="0.8505"/>
        <n v="0.8769"/>
        <n v="0.8565"/>
        <n v="0.8573"/>
        <n v="0.8705"/>
        <n v="0.8497"/>
        <n v="0.8998"/>
        <n v="0.8034"/>
        <n v="0.8367"/>
        <n v="0.7784"/>
        <n v="0.8834"/>
        <n v="0.7681"/>
        <n v="0.7959"/>
        <n v="0.8029"/>
        <n v="0.7659"/>
        <n v="0.813"/>
        <n v="0.77"/>
        <n v="0.7692"/>
        <n v="0.7712"/>
        <n v="0.7579"/>
        <n v="0.7179"/>
        <n v="0.7974"/>
        <n v="0.6939"/>
        <n v="0.7308"/>
        <n v="0.8923"/>
        <n v="0.8686"/>
        <n v="0.8041"/>
        <n v="0.8323"/>
        <n v="0.8562"/>
        <n v="0.8272"/>
        <n v="0.863"/>
        <n v="0.8211"/>
        <n v="0.8857"/>
        <n v="0.8699"/>
        <n v="0.8571"/>
        <n v="0.7949"/>
        <n v="0.9101"/>
        <n v="0.8776"/>
        <n v="0.8632"/>
        <n v="0.9254"/>
        <n v="0.8627"/>
        <n v="0.8528"/>
        <n v="0.8954"/>
        <n v="0.8429"/>
        <n v="0.8688"/>
        <n v="0.8144"/>
        <n v="0.8557"/>
        <n v="0.8406"/>
        <n v="0.8316"/>
        <n v="0.8881"/>
        <n v="0.9058"/>
        <n v="0.8358"/>
        <n v="0.8365"/>
        <n v="0.8105"/>
        <n v="0.7846"/>
        <n v="0.9326"/>
        <n v="0.7347"/>
        <n v="0.625"/>
        <n v="0.6649"/>
        <n v="0.7474"/>
        <n v="0.6692"/>
        <n v="0.6466"/>
        <n v="0.7385"/>
        <n v="0.7599"/>
        <n v="0.6022"/>
        <n v="0.7138"/>
        <n v="0.7783"/>
        <n v="0.796"/>
        <n v="0.6013"/>
        <n v="0.6667"/>
        <n v="0.5918"/>
        <n v="0.875"/>
        <n v="0.9339"/>
        <n v="0.8577"/>
        <n v="0.8459"/>
        <n v="0.8506"/>
        <n v="0.8431"/>
        <n v="0.8603"/>
        <n v="0.9013"/>
        <n v="0.8748"/>
        <n v="0.9249"/>
        <n v="0.9403"/>
        <n v="0.8526"/>
        <n v="0.8723"/>
        <n v="0.864"/>
        <n v="0.9215"/>
        <n v="0.9551"/>
        <n v="0.8718"/>
        <n v="0.8535"/>
      </sharedItems>
    </cacheField>
    <cacheField name="F2" numFmtId="0">
      <sharedItems containsSemiMixedTypes="0" containsString="0" containsNumber="1">
        <n v="0.9677"/>
        <n v="0.8686"/>
        <n v="0.8451"/>
        <n v="0.8621"/>
        <n v="0.8"/>
        <n v="0.8491"/>
        <n v="0.6522"/>
        <n v="0.75"/>
        <n v="0.8028"/>
        <n v="0.8006"/>
        <n v="0.7619"/>
        <n v="0.7794"/>
        <n v="0.7407"/>
        <n v="0.7551"/>
        <n v="0.6855"/>
        <n v="0.7143"/>
        <n v="0.7463"/>
        <n v="0.7915"/>
        <n v="0.7112"/>
        <n v="0.724"/>
        <n v="0.6987"/>
        <n v="0.7135"/>
        <n v="0.6316"/>
        <n v="0.6873"/>
        <n v="0.7252"/>
        <n v="0.625"/>
        <n v="0.6513"/>
        <n v="0.5769"/>
        <n v="0.5172"/>
        <n v="0.3704"/>
        <n v="0.8333"/>
        <n v="0.7921"/>
        <n v="0.7353"/>
        <n v="0.6897"/>
        <n v="0.6762"/>
        <n v="0.6728"/>
        <n v="0.7296"/>
        <n v="0.6081"/>
        <n v="0.6198"/>
        <n v="0.6303"/>
        <n v="0.6148"/>
        <n v="0.5947"/>
        <n v="0.4217"/>
        <n v="0.2273"/>
        <n v="0.6923"/>
        <n v="0.7071"/>
        <n v="0.688"/>
        <n v="0.6723"/>
        <n v="0.6362"/>
        <n v="0.6289"/>
        <n v="0.6027"/>
        <n v="0.6098"/>
        <n v="0.6809"/>
        <n v="0.3846"/>
        <n v="0.3659"/>
        <n v="0.7547"/>
        <n v="0.8083"/>
        <n v="0.7692"/>
        <n v="0.7035"/>
        <n v="0.7234"/>
        <n v="0.6618"/>
        <n v="0.6899"/>
        <n v="0.6612"/>
        <n v="0.6881"/>
        <n v="0.6853"/>
        <n v="0.6716"/>
        <n v="0.6735"/>
        <n v="0.5729"/>
        <n v="0.0"/>
        <n v="0.7812"/>
        <n v="0.7115"/>
        <n v="0.6579"/>
        <n v="0.6535"/>
        <n v="0.5455"/>
        <n v="0.597"/>
        <n v="0.6129"/>
        <n v="0.5993"/>
        <n v="0.5684"/>
        <n v="0.493"/>
        <n v="0.5634"/>
        <n v="0.4455"/>
        <n v="0.5189"/>
        <n v="0.5363"/>
        <n v="0.4167"/>
        <n v="0.2083"/>
        <n v="0.5556"/>
        <n v="0.5943"/>
        <n v="0.6034"/>
        <n v="0.56"/>
        <n v="0.5686"/>
        <n v="0.5625"/>
        <n v="0.4717"/>
        <n v="0.5108"/>
        <n v="0.4938"/>
        <n v="0.5357"/>
        <n v="0.5306"/>
        <n v="0.3448"/>
        <n v="0.2"/>
        <n v="0.6154"/>
        <n v="0.6061"/>
        <n v="0.5102"/>
        <n v="0.5376"/>
        <n v="0.6"/>
        <n v="0.5936"/>
        <n v="0.5263"/>
        <n v="0.5328"/>
        <n v="0.5025"/>
        <n v="0.4839"/>
        <n v="0.4598"/>
        <n v="0.4376"/>
        <n v="0.4348"/>
        <n v="0.3883"/>
        <n v="0.8065"/>
        <n v="0.7708"/>
        <n v="0.7819"/>
        <n v="0.7402"/>
        <n v="0.7399"/>
        <n v="0.7075"/>
        <n v="0.6364"/>
        <n v="0.6693"/>
        <n v="0.6604"/>
        <n v="0.6321"/>
        <n v="0.669"/>
        <n v="0.6383"/>
        <n v="0.4"/>
        <n v="0.7031"/>
        <n v="0.681"/>
        <n v="0.5909"/>
        <n v="0.6699"/>
        <n v="0.6852"/>
        <n v="0.5333"/>
        <n v="0.5882"/>
        <n v="0.6122"/>
        <n v="0.5369"/>
        <n v="0.609"/>
        <n v="0.5482"/>
        <n v="0.5682"/>
        <n v="0.4651"/>
        <n v="0.7048"/>
        <n v="0.7034"/>
        <n v="0.6828"/>
        <n v="0.6624"/>
        <n v="0.5752"/>
        <n v="0.6391"/>
        <n v="0.5746"/>
        <n v="0.5417"/>
        <n v="0.5303"/>
        <n v="0.4687"/>
        <n v="0.4444"/>
        <n v="0.7273"/>
        <n v="0.6908"/>
        <n v="0.7301"/>
        <n v="0.7175"/>
        <n v="0.7212"/>
        <n v="0.697"/>
        <n v="0.6429"/>
        <n v="0.6985"/>
        <n v="0.6452"/>
        <n v="0.6004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37" sheet="issue_category_plms"/>
  </cacheSource>
  <cacheFields>
    <cacheField name="issue_category" numFmtId="0">
      <sharedItems>
        <s v="Compatibility Issue"/>
        <s v="Error Handling Improvement"/>
        <s v="Technology Update"/>
        <s v="Test Update"/>
        <s v="Code Design"/>
        <s v="Test Failure"/>
        <s v="Unnecessary Code Removal"/>
        <s v="Feature Development"/>
        <s v="Code Improvement"/>
        <s v="Flaky Tests"/>
        <s v="Defective Functionality"/>
        <s v="Performance Optimization"/>
        <s v="UI Issue"/>
        <s v="Preventive Changes"/>
        <s v="Crash"/>
        <s v="Audit Task"/>
        <s v="Incorrect Page Rendering"/>
      </sharedItems>
    </cacheField>
    <cacheField name="Rank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</sharedItems>
    </cacheField>
    <cacheField name="Model" numFmtId="0">
      <sharedItems>
        <s v="BERT-OS"/>
        <s v="BERT-NOS"/>
        <s v="DistilBERT-OS"/>
        <s v="DistilBERT-NOS"/>
        <s v="RoBERTa-OS"/>
        <s v="RoBERTa-NOS"/>
        <s v="XLNet-OS"/>
        <s v="XLNet-NOS"/>
      </sharedItems>
    </cacheField>
    <cacheField name="# of Comments" numFmtId="0">
      <sharedItems containsSemiMixedTypes="0" containsString="0" containsNumber="1" containsInteger="1">
        <n v="26.0"/>
        <n v="49.0"/>
        <n v="65.0"/>
        <n v="95.0"/>
        <n v="897.0"/>
        <n v="446.0"/>
        <n v="153.0"/>
        <n v="662.0"/>
        <n v="274.0"/>
        <n v="89.0"/>
        <n v="679.0"/>
        <n v="194.0"/>
        <n v="587.0"/>
        <n v="469.0"/>
        <n v="16.0"/>
        <n v="117.0"/>
      </sharedItems>
    </cacheField>
    <cacheField name="TP" numFmtId="0">
      <sharedItems containsSemiMixedTypes="0" containsString="0" containsNumber="1" containsInteger="1">
        <n v="4.0"/>
        <n v="8.0"/>
        <n v="10.0"/>
        <n v="14.0"/>
        <n v="117.0"/>
        <n v="32.0"/>
        <n v="18.0"/>
        <n v="89.0"/>
        <n v="34.0"/>
        <n v="3.0"/>
        <n v="56.0"/>
        <n v="28.0"/>
        <n v="63.0"/>
        <n v="2.0"/>
        <n v="9.0"/>
        <n v="16.0"/>
        <n v="33.0"/>
        <n v="116.0"/>
        <n v="88.0"/>
        <n v="54.0"/>
        <n v="60.0"/>
        <n v="30.0"/>
        <n v="15.0"/>
        <n v="27.0"/>
        <n v="7.0"/>
        <n v="1.0"/>
        <n v="35.0"/>
        <n v="82.0"/>
        <n v="61.0"/>
        <n v="12.0"/>
        <n v="36.0"/>
        <n v="57.0"/>
        <n v="81.0"/>
        <n v="6.0"/>
        <n v="41.0"/>
        <n v="66.0"/>
        <n v="96.0"/>
        <n v="123.0"/>
        <n v="69.0"/>
        <n v="19.0"/>
        <n v="31.0"/>
        <n v="42.0"/>
        <n v="68.0"/>
        <n v="97.0"/>
        <n v="119.0"/>
        <n v="65.0"/>
        <n v="11.0"/>
        <n v="43.0"/>
        <n v="93.0"/>
        <n v="120.0"/>
        <n v="71.0"/>
        <n v="0.0"/>
        <n v="92.0"/>
        <n v="62.0"/>
      </sharedItems>
    </cacheField>
    <cacheField name="FP" numFmtId="0">
      <sharedItems containsSemiMixedTypes="0" containsString="0" containsNumber="1" containsInteger="1">
        <n v="1.0"/>
        <n v="3.0"/>
        <n v="5.0"/>
        <n v="47.0"/>
        <n v="14.0"/>
        <n v="10.0"/>
        <n v="44.0"/>
        <n v="17.0"/>
        <n v="22.0"/>
        <n v="12.0"/>
        <n v="36.0"/>
        <n v="2.0"/>
        <n v="24.0"/>
        <n v="11.0"/>
        <n v="53.0"/>
        <n v="42.0"/>
        <n v="23.0"/>
        <n v="18.0"/>
        <n v="16.0"/>
        <n v="7.0"/>
        <n v="8.0"/>
        <n v="52.0"/>
        <n v="19.0"/>
        <n v="35.0"/>
        <n v="33.0"/>
        <n v="28.0"/>
        <n v="0.0"/>
        <n v="55.0"/>
        <n v="27.0"/>
        <n v="39.0"/>
        <n v="13.0"/>
        <n v="26.0"/>
        <n v="43.0"/>
        <n v="67.0"/>
        <n v="15.0"/>
        <n v="20.0"/>
        <n v="21.0"/>
        <n v="57.0"/>
        <n v="30.0"/>
        <n v="4.0"/>
        <n v="25.0"/>
        <n v="80.0"/>
        <n v="65.0"/>
      </sharedItems>
    </cacheField>
    <cacheField name="TN" numFmtId="0">
      <sharedItems containsSemiMixedTypes="0" containsString="0" containsNumber="1" containsInteger="1">
        <n v="20.0"/>
        <n v="37.0"/>
        <n v="48.0"/>
        <n v="70.0"/>
        <n v="682.0"/>
        <n v="384.0"/>
        <n v="118.0"/>
        <n v="487.0"/>
        <n v="207.0"/>
        <n v="83.0"/>
        <n v="564.0"/>
        <n v="136.0"/>
        <n v="451.0"/>
        <n v="42.0"/>
        <n v="401.0"/>
        <n v="9.0"/>
        <n v="88.0"/>
        <n v="49.0"/>
        <n v="213.0"/>
        <n v="676.0"/>
        <n v="489.0"/>
        <n v="402.0"/>
        <n v="43.0"/>
        <n v="568.0"/>
        <n v="463.0"/>
        <n v="382.0"/>
        <n v="121.0"/>
        <n v="132.0"/>
        <n v="92.0"/>
        <n v="50.0"/>
        <n v="35.0"/>
        <n v="73.0"/>
        <n v="677.0"/>
        <n v="205.0"/>
        <n v="567.0"/>
        <n v="496.0"/>
        <n v="454.0"/>
        <n v="397.0"/>
        <n v="95.0"/>
        <n v="10.0"/>
        <n v="111.0"/>
        <n v="51.0"/>
        <n v="208.0"/>
        <n v="674.0"/>
        <n v="460.0"/>
        <n v="492.0"/>
        <n v="135.0"/>
        <n v="120.0"/>
        <n v="398.0"/>
        <n v="41.0"/>
        <n v="36.0"/>
        <n v="206.0"/>
        <n v="560.0"/>
        <n v="488.0"/>
        <n v="662.0"/>
        <n v="72.0"/>
        <n v="116.0"/>
        <n v="383.0"/>
        <n v="90.0"/>
        <n v="204.0"/>
        <n v="565.0"/>
        <n v="484.0"/>
        <n v="672.0"/>
        <n v="457.0"/>
        <n v="117.0"/>
        <n v="399.0"/>
        <n v="380.0"/>
        <n v="71.0"/>
        <n v="84.0"/>
        <n v="201.0"/>
        <n v="19.0"/>
        <n v="561.0"/>
        <n v="131.0"/>
        <n v="474.0"/>
        <n v="649.0"/>
        <n v="440.0"/>
        <n v="112.0"/>
        <n v="389.0"/>
        <n v="664.0"/>
        <n v="563.0"/>
        <n v="444.0"/>
      </sharedItems>
    </cacheField>
    <cacheField name="FN" numFmtId="0">
      <sharedItems containsSemiMixedTypes="0" containsString="0" containsNumber="1" containsInteger="1">
        <n v="1.0"/>
        <n v="3.0"/>
        <n v="4.0"/>
        <n v="6.0"/>
        <n v="51.0"/>
        <n v="16.0"/>
        <n v="7.0"/>
        <n v="42.0"/>
        <n v="2.0"/>
        <n v="37.0"/>
        <n v="18.0"/>
        <n v="9.0"/>
        <n v="17.0"/>
        <n v="52.0"/>
        <n v="43.0"/>
        <n v="10.0"/>
        <n v="39.0"/>
        <n v="40.0"/>
        <n v="19.0"/>
        <n v="15.0"/>
        <n v="49.0"/>
        <n v="20.0"/>
        <n v="14.0"/>
        <n v="13.0"/>
        <n v="5.0"/>
        <n v="36.0"/>
        <n v="50.0"/>
        <n v="12.0"/>
        <n v="11.0"/>
        <n v="27.0"/>
        <n v="35.0"/>
        <n v="45.0"/>
        <n v="8.0"/>
        <n v="31.0"/>
        <n v="25.0"/>
        <n v="34.0"/>
        <n v="28.0"/>
        <n v="38.0"/>
        <n v="48.0"/>
        <n v="29.0"/>
      </sharedItems>
    </cacheField>
    <cacheField name="Accuracy" numFmtId="0">
      <sharedItems containsSemiMixedTypes="0" containsString="0" containsNumber="1">
        <n v="0.9231"/>
        <n v="0.9184"/>
        <n v="0.8923"/>
        <n v="0.8842"/>
        <n v="0.8907"/>
        <n v="0.9327"/>
        <n v="0.8889"/>
        <n v="0.8701"/>
        <n v="0.8796"/>
        <n v="0.9663"/>
        <n v="0.9131"/>
        <n v="0.8454"/>
        <n v="0.8756"/>
        <n v="0.9147"/>
        <n v="0.6875"/>
        <n v="0.8205"/>
        <n v="0.9388"/>
        <n v="0.9053"/>
        <n v="0.9077"/>
        <n v="0.8125"/>
        <n v="0.8978"/>
        <n v="0.8829"/>
        <n v="0.8716"/>
        <n v="0.9296"/>
        <n v="0.9161"/>
        <n v="0.891"/>
        <n v="0.9238"/>
        <n v="0.8196"/>
        <n v="0.8462"/>
        <n v="0.9438"/>
        <n v="0.898"/>
        <n v="0.9158"/>
        <n v="0.8852"/>
        <n v="0.8557"/>
        <n v="0.8759"/>
        <n v="0.8846"/>
        <n v="0.9175"/>
        <n v="0.8731"/>
        <n v="0.8773"/>
        <n v="0.9193"/>
        <n v="0.9104"/>
        <n v="0.8803"/>
        <n v="0.75"/>
        <n v="0.9551"/>
        <n v="0.8039"/>
        <n v="0.8905"/>
        <n v="0.8807"/>
        <n v="0.919"/>
        <n v="0.8876"/>
        <n v="0.8656"/>
        <n v="0.8351"/>
        <n v="0.8824"/>
        <n v="0.9168"/>
        <n v="0.8376"/>
        <n v="0.9015"/>
        <n v="0.9219"/>
        <n v="0.8822"/>
        <n v="0.8608"/>
        <n v="0.8751"/>
        <n v="0.9275"/>
        <n v="0.9283"/>
        <n v="0.9323"/>
        <n v="0.8776"/>
        <n v="0.8818"/>
        <n v="0.8893"/>
        <n v="0.9232"/>
        <n v="0.8632"/>
        <n v="0.9775"/>
        <n v="0.8505"/>
        <n v="0.8769"/>
        <n v="0.8565"/>
        <n v="0.8573"/>
        <n v="0.8705"/>
        <n v="0.8497"/>
        <n v="0.8998"/>
        <n v="0.8034"/>
        <n v="0.8367"/>
        <n v="0.8729"/>
        <n v="0.8737"/>
        <n v="0.9116"/>
        <n v="0.8615"/>
        <n v="0.862"/>
        <n v="0.8571"/>
      </sharedItems>
    </cacheField>
    <cacheField name="Precision" numFmtId="0">
      <sharedItems containsSemiMixedTypes="0" containsString="0" containsNumber="1">
        <n v="0.8"/>
        <n v="0.8889"/>
        <n v="0.7692"/>
        <n v="0.7368"/>
        <n v="0.7134"/>
        <n v="0.6957"/>
        <n v="0.6429"/>
        <n v="0.6692"/>
        <n v="0.6667"/>
        <n v="0.75"/>
        <n v="0.7179"/>
        <n v="0.7"/>
        <n v="0.6364"/>
        <n v="0.6"/>
        <n v="0.5385"/>
        <n v="0.4"/>
        <n v="0.9"/>
        <n v="0.7619"/>
        <n v="0.8333"/>
        <n v="0.6864"/>
        <n v="0.6769"/>
        <n v="0.5965"/>
        <n v="0.7143"/>
        <n v="0.6522"/>
        <n v="0.6818"/>
        <n v="0.6279"/>
        <n v="0.4667"/>
        <n v="0.5"/>
        <n v="0.9091"/>
        <n v="0.875"/>
        <n v="0.6923"/>
        <n v="0.6481"/>
        <n v="0.7467"/>
        <n v="0.7009"/>
        <n v="0.6489"/>
        <n v="0.5172"/>
        <n v="0.6154"/>
        <n v="1.0"/>
        <n v="0.4138"/>
        <n v="0.6784"/>
        <n v="0.6932"/>
        <n v="0.675"/>
        <n v="0.5424"/>
        <n v="0.4286"/>
        <n v="0.6949"/>
        <n v="0.7174"/>
        <n v="0.6906"/>
        <n v="0.7111"/>
        <n v="0.6474"/>
        <n v="0.6765"/>
        <n v="0.6129"/>
        <n v="0.5893"/>
        <n v="0.6739"/>
        <n v="0.4737"/>
        <n v="0.6774"/>
        <n v="0.764"/>
        <n v="0.6736"/>
        <n v="0.6761"/>
        <n v="0.7045"/>
        <n v="0.6842"/>
        <n v="0.6207"/>
        <n v="0.5667"/>
        <n v="0.64"/>
        <n v="0.7333"/>
        <n v="0.6515"/>
        <n v="0.7222"/>
        <n v="0.62"/>
        <n v="0.6017"/>
        <n v="0.5294"/>
        <n v="0.4783"/>
        <n v="0.3929"/>
        <n v="0.0"/>
        <n v="0.6866"/>
        <n v="0.6467"/>
        <n v="0.7089"/>
        <n v="0.7273"/>
        <n v="0.5905"/>
        <n v="0.25"/>
      </sharedItems>
    </cacheField>
    <cacheField name="Recall" numFmtId="0">
      <sharedItems containsSemiMixedTypes="0" containsString="0" containsNumber="1">
        <n v="0.8"/>
        <n v="0.7273"/>
        <n v="0.7143"/>
        <n v="0.7"/>
        <n v="0.6964"/>
        <n v="0.6667"/>
        <n v="0.72"/>
        <n v="0.6794"/>
        <n v="0.68"/>
        <n v="0.6"/>
        <n v="0.6022"/>
        <n v="0.6087"/>
        <n v="0.63"/>
        <n v="0.6364"/>
        <n v="0.3333"/>
        <n v="0.4706"/>
        <n v="0.8182"/>
        <n v="0.66"/>
        <n v="0.6905"/>
        <n v="0.6718"/>
        <n v="0.7727"/>
        <n v="0.5806"/>
        <n v="0.625"/>
        <n v="0.587"/>
        <n v="0.4118"/>
        <n v="0.2"/>
        <n v="0.6522"/>
        <n v="0.626"/>
        <n v="0.61"/>
        <n v="0.5833"/>
        <n v="0.6818"/>
        <n v="0.4"/>
        <n v="0.48"/>
        <n v="0.6429"/>
        <n v="0.6129"/>
        <n v="0.6183"/>
        <n v="0.3529"/>
        <n v="0.82"/>
        <n v="0.7097"/>
        <n v="0.7328"/>
        <n v="0.6957"/>
        <n v="0.7321"/>
        <n v="0.69"/>
        <n v="0.76"/>
        <n v="0.75"/>
        <n v="0.6458"/>
        <n v="0.5294"/>
        <n v="0.84"/>
        <n v="0.7312"/>
        <n v="0.7405"/>
        <n v="0.7083"/>
        <n v="0.6739"/>
        <n v="0.65"/>
        <n v="0.55"/>
        <n v="0.86"/>
        <n v="0.6989"/>
        <n v="0.7391"/>
        <n v="0.7099"/>
        <n v="0.71"/>
        <n v="0.6471"/>
        <n v="0.0"/>
        <n v="0.7023"/>
        <n v="0.5714"/>
        <n v="0.62"/>
      </sharedItems>
    </cacheField>
    <cacheField name="F1" numFmtId="0">
      <sharedItems containsSemiMixedTypes="0" containsString="0" containsNumber="1">
        <n v="0.8"/>
        <n v="0.7407"/>
        <n v="0.7179"/>
        <n v="0.7048"/>
        <n v="0.6809"/>
        <n v="0.6792"/>
        <n v="0.6742"/>
        <n v="0.6733"/>
        <n v="0.6667"/>
        <n v="0.655"/>
        <n v="0.6512"/>
        <n v="0.6332"/>
        <n v="0.6"/>
        <n v="0.5833"/>
        <n v="0.4444"/>
        <n v="0.4324"/>
        <n v="0.8571"/>
        <n v="0.7805"/>
        <n v="0.7692"/>
        <n v="0.7273"/>
        <n v="0.7021"/>
        <n v="0.6884"/>
        <n v="0.6743"/>
        <n v="0.6545"/>
        <n v="0.6522"/>
        <n v="0.6383"/>
        <n v="0.6067"/>
        <n v="0.4375"/>
        <n v="0.2857"/>
        <n v="0.7826"/>
        <n v="0.7778"/>
        <n v="0.6944"/>
        <n v="0.6818"/>
        <n v="0.6731"/>
        <n v="0.6613"/>
        <n v="0.6289"/>
        <n v="0.6087"/>
        <n v="0.5882"/>
        <n v="0.5333"/>
        <n v="0.5"/>
        <n v="0.7059"/>
        <n v="0.6844"/>
        <n v="0.6746"/>
        <n v="0.6489"/>
        <n v="0.6454"/>
        <n v="0.6279"/>
        <n v="0.625"/>
        <n v="0.6214"/>
        <n v="0.5455"/>
        <n v="0.3871"/>
        <n v="0.7619"/>
        <n v="0.7523"/>
        <n v="0.7135"/>
        <n v="0.7111"/>
        <n v="0.7033"/>
        <n v="0.6872"/>
        <n v="0.6857"/>
        <n v="0.6832"/>
        <n v="0.6786"/>
        <n v="0.66"/>
        <n v="0.6596"/>
        <n v="0.75"/>
        <n v="0.7473"/>
        <n v="0.7055"/>
        <n v="0.6919"/>
        <n v="0.6889"/>
        <n v="0.6538"/>
        <n v="0.6531"/>
        <n v="0.6286"/>
        <n v="0.7414"/>
        <n v="0.7104"/>
        <n v="0.701"/>
        <n v="0.6923"/>
        <n v="0.6619"/>
        <n v="0.6514"/>
        <n v="0.6102"/>
        <n v="0.5841"/>
        <n v="0.4889"/>
        <n v="0.0"/>
        <n v="0.6943"/>
        <n v="0.6761"/>
        <n v="0.64"/>
        <n v="0.6049"/>
        <n v="0.2222"/>
      </sharedItems>
    </cacheField>
    <cacheField name="F2" numFmtId="0">
      <sharedItems containsSemiMixedTypes="0" containsString="0" containsNumber="1">
        <n v="0.8"/>
        <n v="0.7547"/>
        <n v="0.7246"/>
        <n v="0.7071"/>
        <n v="0.6998"/>
        <n v="0.6723"/>
        <n v="0.7031"/>
        <n v="0.6773"/>
        <n v="0.625"/>
        <n v="0.6222"/>
        <n v="0.6313"/>
        <n v="0.6"/>
        <n v="0.614"/>
        <n v="0.3704"/>
        <n v="0.4545"/>
        <n v="0.8333"/>
        <n v="0.7921"/>
        <n v="0.7353"/>
        <n v="0.6897"/>
        <n v="0.6762"/>
        <n v="0.6728"/>
        <n v="0.7296"/>
        <n v="0.6081"/>
        <n v="0.6198"/>
        <n v="0.6303"/>
        <n v="0.6148"/>
        <n v="0.5947"/>
        <n v="0.4217"/>
        <n v="0.2273"/>
        <n v="0.7463"/>
        <n v="0.8036"/>
        <n v="0.7292"/>
        <n v="0.6956"/>
        <n v="0.6637"/>
        <n v="0.689"/>
        <n v="0.6264"/>
        <n v="0.6396"/>
        <n v="0.6174"/>
        <n v="0.5932"/>
        <n v="0.641"/>
        <n v="0.4938"/>
        <n v="0.3846"/>
        <n v="0.4348"/>
        <n v="0.4651"/>
        <n v="0.6923"/>
        <n v="0.7143"/>
        <n v="0.688"/>
        <n v="0.6362"/>
        <n v="0.6289"/>
        <n v="0.6027"/>
        <n v="0.6098"/>
        <n v="0.6809"/>
        <n v="0.5769"/>
        <n v="0.3659"/>
        <n v="0.7407"/>
        <n v="0.7915"/>
        <n v="0.7112"/>
        <n v="0.724"/>
        <n v="0.6987"/>
        <n v="0.7135"/>
        <n v="0.6316"/>
        <n v="0.6873"/>
        <n v="0.7252"/>
        <n v="0.6513"/>
        <n v="0.5172"/>
        <n v="0.8015"/>
        <n v="0.7375"/>
        <n v="0.726"/>
        <n v="0.7017"/>
        <n v="0.6798"/>
        <n v="0.6566"/>
        <n v="0.6977"/>
        <n v="0.7203"/>
        <n v="0.6612"/>
        <n v="0.5789"/>
        <n v="0.4167"/>
        <n v="0.6522"/>
        <n v="0.8083"/>
        <n v="0.7692"/>
        <n v="0.7035"/>
        <n v="0.7234"/>
        <n v="0.6618"/>
        <n v="0.6899"/>
        <n v="0.6881"/>
        <n v="0.6853"/>
        <n v="0.6716"/>
        <n v="0.6735"/>
        <n v="0.5729"/>
        <n v="0.0"/>
        <n v="0.6991"/>
        <n v="0.6951"/>
        <n v="0.6208"/>
        <n v="0.597"/>
        <n v="0.6139"/>
        <n v="0.208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5" cacheId="0" dataCaption="" compact="0" compactData="0">
  <location ref="A1:D5" firstHeaderRow="0" firstDataRow="2" firstDataCol="0"/>
  <pivotFields>
    <pivotField name="issue_type" axis="axisRow" compact="0" outline="0" multipleItemSelectionAllowed="1" showAll="0" sortType="ascending">
      <items>
        <item x="0"/>
        <item x="1"/>
        <item x="2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# of Comments" compact="0" outline="0" multipleItemSelectionAllowed="1" showAll="0">
      <items>
        <item x="0"/>
        <item x="1"/>
        <item x="2"/>
        <item t="default"/>
      </items>
    </pivotField>
    <pivotField name="Precision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Recal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1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ask vs def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ask vs enhanc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est?" compact="0" outline="0" multipleItemSelectionAllowed="1" showAll="0">
      <items>
        <item x="0"/>
        <item x="1"/>
        <item t="default"/>
      </items>
    </pivotField>
    <pivotField name="T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F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ccura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F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AVERAGE of Precision" fld="3" subtotal="average" baseField="0"/>
    <dataField name="AVERAGE of Recall" fld="4" subtotal="average" baseField="0"/>
    <dataField name="AVERAGE of F1" fld="5" subtotal="average" baseField="0"/>
  </dataFields>
</pivotTableDefinition>
</file>

<file path=xl/pivotTables/pivotTable2.xml><?xml version="1.0" encoding="utf-8"?>
<pivotTableDefinition xmlns="http://schemas.openxmlformats.org/spreadsheetml/2006/main" name="Pivot Table 5 2" cacheId="0" dataCaption="" compact="0" compactData="0">
  <location ref="A10:D14" firstHeaderRow="0" firstDataRow="2" firstDataCol="0" rowPageCount="1" colPageCount="1"/>
  <pivotFields>
    <pivotField name="issue_type" axis="axisRow" compact="0" outline="0" multipleItemSelectionAllowed="1" showAll="0" sortType="ascending">
      <items>
        <item x="0"/>
        <item x="1"/>
        <item x="2"/>
        <item t="default"/>
      </items>
    </pivotField>
    <pivotField name="Model" axis="axisPage" compact="0" outline="0" multipleItemSelectionAllowed="1" showAll="0">
      <items>
        <item h="1" x="0"/>
        <item x="1"/>
        <item h="1" x="2"/>
        <item x="3"/>
        <item h="1" x="4"/>
        <item h="1" x="5"/>
        <item x="6"/>
        <item x="7"/>
        <item x="8"/>
        <item h="1" x="9"/>
        <item x="10"/>
        <item h="1" x="11"/>
        <item t="default"/>
      </items>
    </pivotField>
    <pivotField name="# of Comments" compact="0" outline="0" multipleItemSelectionAllowed="1" showAll="0">
      <items>
        <item x="0"/>
        <item x="1"/>
        <item x="2"/>
        <item t="default"/>
      </items>
    </pivotField>
    <pivotField name="Precision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Recal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1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ask vs def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ask vs enhanc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est?" compact="0" outline="0" multipleItemSelectionAllowed="1" showAll="0">
      <items>
        <item x="0"/>
        <item x="1"/>
        <item t="default"/>
      </items>
    </pivotField>
    <pivotField name="T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F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ccura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F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pageFields>
    <pageField fld="1"/>
  </pageFields>
  <dataFields>
    <dataField name="AVERAGE of Precision" fld="3" subtotal="average" baseField="0"/>
    <dataField name="AVERAGE of Recall" fld="4" subtotal="average" baseField="0"/>
    <dataField name="AVERAGE of F1" fld="5" subtotal="average" baseField="0"/>
  </dataFields>
</pivotTableDefinition>
</file>

<file path=xl/pivotTables/pivotTable3.xml><?xml version="1.0" encoding="utf-8"?>
<pivotTableDefinition xmlns="http://schemas.openxmlformats.org/spreadsheetml/2006/main" name="Pivot Table 5 3" cacheId="0" dataCaption="" compact="0" compactData="0">
  <location ref="A19:D23" firstHeaderRow="0" firstDataRow="2" firstDataCol="0" rowPageCount="1" colPageCount="1"/>
  <pivotFields>
    <pivotField name="issue_type" axis="axisRow" compact="0" outline="0" multipleItemSelectionAllowed="1" showAll="0" sortType="ascending">
      <items>
        <item x="0"/>
        <item x="1"/>
        <item x="2"/>
        <item t="default"/>
      </items>
    </pivotField>
    <pivotField name="Model" axis="axisPage" compact="0" outline="0" multipleItemSelectionAllowed="1" showAll="0">
      <items>
        <item x="0"/>
        <item h="1" x="1"/>
        <item x="2"/>
        <item h="1" x="3"/>
        <item h="1" x="4"/>
        <item h="1" x="5"/>
        <item h="1" x="6"/>
        <item h="1" x="7"/>
        <item h="1" x="8"/>
        <item x="9"/>
        <item h="1" x="10"/>
        <item x="11"/>
        <item t="default"/>
      </items>
    </pivotField>
    <pivotField name="# of Comments" compact="0" outline="0" multipleItemSelectionAllowed="1" showAll="0">
      <items>
        <item x="0"/>
        <item x="1"/>
        <item x="2"/>
        <item t="default"/>
      </items>
    </pivotField>
    <pivotField name="Precision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Recal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1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ask vs def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ask vs enhanc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est?" compact="0" outline="0" multipleItemSelectionAllowed="1" showAll="0">
      <items>
        <item x="0"/>
        <item x="1"/>
        <item t="default"/>
      </items>
    </pivotField>
    <pivotField name="T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F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ccura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F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pageFields>
    <pageField fld="1"/>
  </pageFields>
  <dataFields>
    <dataField name="AVERAGE of Precision" fld="3" subtotal="average" baseField="0"/>
    <dataField name="AVERAGE of Recall" fld="4" subtotal="average" baseField="0"/>
    <dataField name="AVERAGE of F1" fld="5" subtotal="average" baseField="0"/>
  </dataFields>
</pivotTableDefinition>
</file>

<file path=xl/pivotTables/pivotTable4.xml><?xml version="1.0" encoding="utf-8"?>
<pivotTableDefinition xmlns="http://schemas.openxmlformats.org/spreadsheetml/2006/main" name="Pivot Table 5 4" cacheId="0" dataCaption="" compact="0" compactData="0">
  <location ref="A27:D31" firstHeaderRow="0" firstDataRow="2" firstDataCol="0" rowPageCount="1" colPageCount="1"/>
  <pivotFields>
    <pivotField name="issue_type" axis="axisRow" compact="0" outline="0" multipleItemSelectionAllowed="1" showAll="0" sortType="ascending">
      <items>
        <item x="0"/>
        <item x="1"/>
        <item x="2"/>
        <item t="default"/>
      </items>
    </pivotField>
    <pivotField name="Model" axis="axisPage" compact="0" outline="0" multipleItemSelectionAllowed="1" showAll="0">
      <items>
        <item h="1" x="0"/>
        <item h="1" x="1"/>
        <item h="1" x="2"/>
        <item h="1" x="3"/>
        <item x="4"/>
        <item x="5"/>
        <item h="1" x="6"/>
        <item h="1" x="7"/>
        <item h="1" x="8"/>
        <item h="1" x="9"/>
        <item h="1" x="10"/>
        <item h="1" x="11"/>
        <item t="default"/>
      </items>
    </pivotField>
    <pivotField name="# of Comments" compact="0" outline="0" multipleItemSelectionAllowed="1" showAll="0">
      <items>
        <item x="0"/>
        <item x="1"/>
        <item x="2"/>
        <item t="default"/>
      </items>
    </pivotField>
    <pivotField name="Precision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Recal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1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ask vs def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ask vs enhanc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est?" compact="0" outline="0" multipleItemSelectionAllowed="1" showAll="0">
      <items>
        <item x="0"/>
        <item x="1"/>
        <item t="default"/>
      </items>
    </pivotField>
    <pivotField name="T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F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F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ccura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F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pageFields>
    <pageField fld="1"/>
  </pageFields>
  <dataFields>
    <dataField name="AVERAGE of Precision" fld="3" subtotal="average" baseField="0"/>
    <dataField name="AVERAGE of Recall" fld="4" subtotal="average" baseField="0"/>
    <dataField name="AVERAGE of F1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4035.0</v>
      </c>
      <c r="D2" s="2">
        <v>0.6823</v>
      </c>
      <c r="E2" s="2">
        <v>0.6487</v>
      </c>
      <c r="F2" s="2">
        <v>0.6651</v>
      </c>
      <c r="G2" s="2"/>
      <c r="H2" s="2"/>
      <c r="I2" s="3"/>
      <c r="J2" s="1">
        <v>421.0</v>
      </c>
      <c r="K2" s="1">
        <v>196.0</v>
      </c>
      <c r="L2" s="1">
        <v>3190.0</v>
      </c>
      <c r="M2" s="1">
        <v>228.0</v>
      </c>
      <c r="N2" s="1">
        <v>0.8949</v>
      </c>
      <c r="O2" s="1">
        <v>0.6552</v>
      </c>
    </row>
    <row r="3">
      <c r="A3" s="1" t="s">
        <v>17</v>
      </c>
      <c r="B3" s="1" t="s">
        <v>16</v>
      </c>
      <c r="C3" s="1">
        <v>654.0</v>
      </c>
      <c r="D3" s="2">
        <v>0.7216</v>
      </c>
      <c r="E3" s="2">
        <v>0.6364</v>
      </c>
      <c r="F3" s="2">
        <v>0.6763</v>
      </c>
      <c r="G3" s="2"/>
      <c r="H3" s="2"/>
      <c r="I3" s="3"/>
      <c r="J3" s="1">
        <v>70.0</v>
      </c>
      <c r="K3" s="1">
        <v>27.0</v>
      </c>
      <c r="L3" s="1">
        <v>517.0</v>
      </c>
      <c r="M3" s="1">
        <v>40.0</v>
      </c>
      <c r="N3" s="1">
        <v>0.8976</v>
      </c>
      <c r="O3" s="1">
        <v>0.6518</v>
      </c>
    </row>
    <row r="4">
      <c r="A4" s="4" t="s">
        <v>18</v>
      </c>
      <c r="B4" s="4" t="s">
        <v>16</v>
      </c>
      <c r="C4" s="4">
        <v>178.0</v>
      </c>
      <c r="D4" s="5">
        <v>0.7407</v>
      </c>
      <c r="E4" s="5">
        <v>0.6897</v>
      </c>
      <c r="F4" s="5">
        <v>0.7143</v>
      </c>
      <c r="G4" s="6">
        <f>(F4-F2)/F2</f>
        <v>0.07397383852</v>
      </c>
      <c r="H4" s="6">
        <f>(F4-F3)/F3</f>
        <v>0.05618808221</v>
      </c>
      <c r="I4" s="3">
        <v>1.0</v>
      </c>
      <c r="J4" s="1">
        <v>20.0</v>
      </c>
      <c r="K4" s="1">
        <v>7.0</v>
      </c>
      <c r="L4" s="1">
        <v>142.0</v>
      </c>
      <c r="M4" s="1">
        <v>9.0</v>
      </c>
      <c r="N4" s="1">
        <v>0.9101</v>
      </c>
      <c r="O4" s="1">
        <v>0.6993</v>
      </c>
    </row>
    <row r="5">
      <c r="A5" s="1" t="s">
        <v>15</v>
      </c>
      <c r="B5" s="1" t="s">
        <v>19</v>
      </c>
      <c r="C5" s="1">
        <v>4035.0</v>
      </c>
      <c r="D5" s="2">
        <v>0.505</v>
      </c>
      <c r="E5" s="2">
        <v>0.5439</v>
      </c>
      <c r="F5" s="2">
        <v>0.5237</v>
      </c>
      <c r="G5" s="2"/>
      <c r="H5" s="2"/>
      <c r="I5" s="3"/>
      <c r="J5" s="1">
        <v>353.0</v>
      </c>
      <c r="K5" s="1">
        <v>346.0</v>
      </c>
      <c r="L5" s="1">
        <v>3040.0</v>
      </c>
      <c r="M5" s="1">
        <v>296.0</v>
      </c>
      <c r="N5" s="1">
        <v>0.8409</v>
      </c>
      <c r="O5" s="1">
        <v>0.5357</v>
      </c>
    </row>
    <row r="6">
      <c r="A6" s="4" t="s">
        <v>17</v>
      </c>
      <c r="B6" s="4" t="s">
        <v>19</v>
      </c>
      <c r="C6" s="4">
        <v>654.0</v>
      </c>
      <c r="D6" s="5">
        <v>0.5872</v>
      </c>
      <c r="E6" s="5">
        <v>0.5818</v>
      </c>
      <c r="F6" s="5">
        <v>0.5845</v>
      </c>
      <c r="G6" s="2"/>
      <c r="H6" s="2"/>
      <c r="I6" s="3">
        <v>1.0</v>
      </c>
      <c r="J6" s="1">
        <v>64.0</v>
      </c>
      <c r="K6" s="1">
        <v>45.0</v>
      </c>
      <c r="L6" s="1">
        <v>499.0</v>
      </c>
      <c r="M6" s="1">
        <v>46.0</v>
      </c>
      <c r="N6" s="1">
        <v>0.8609</v>
      </c>
      <c r="O6" s="1">
        <v>0.5829</v>
      </c>
    </row>
    <row r="7">
      <c r="A7" s="1" t="s">
        <v>18</v>
      </c>
      <c r="B7" s="1" t="s">
        <v>19</v>
      </c>
      <c r="C7" s="1">
        <v>178.0</v>
      </c>
      <c r="D7" s="2">
        <v>0.6522</v>
      </c>
      <c r="E7" s="2">
        <v>0.5172</v>
      </c>
      <c r="F7" s="2">
        <v>0.5769</v>
      </c>
      <c r="G7" s="6">
        <f>(F7-F5)/F5</f>
        <v>0.1015848768</v>
      </c>
      <c r="H7" s="6">
        <f>(F7-F6)/F6</f>
        <v>-0.0130025663</v>
      </c>
      <c r="I7" s="3"/>
      <c r="J7" s="1">
        <v>15.0</v>
      </c>
      <c r="K7" s="1">
        <v>8.0</v>
      </c>
      <c r="L7" s="1">
        <v>141.0</v>
      </c>
      <c r="M7" s="1">
        <v>14.0</v>
      </c>
      <c r="N7" s="1">
        <v>0.8764</v>
      </c>
      <c r="O7" s="1">
        <v>0.5396</v>
      </c>
    </row>
    <row r="8">
      <c r="A8" s="1" t="s">
        <v>15</v>
      </c>
      <c r="B8" s="1" t="s">
        <v>20</v>
      </c>
      <c r="C8" s="1">
        <v>4035.0</v>
      </c>
      <c r="D8" s="2">
        <v>0.6769</v>
      </c>
      <c r="E8" s="2">
        <v>0.6425</v>
      </c>
      <c r="F8" s="2">
        <v>0.6593</v>
      </c>
      <c r="G8" s="2"/>
      <c r="H8" s="2"/>
      <c r="I8" s="3"/>
      <c r="J8" s="1">
        <v>417.0</v>
      </c>
      <c r="K8" s="1">
        <v>199.0</v>
      </c>
      <c r="L8" s="1">
        <v>3187.0</v>
      </c>
      <c r="M8" s="1">
        <v>232.0</v>
      </c>
      <c r="N8" s="1">
        <v>0.8932</v>
      </c>
      <c r="O8" s="1">
        <v>0.6491</v>
      </c>
    </row>
    <row r="9">
      <c r="A9" s="1" t="s">
        <v>17</v>
      </c>
      <c r="B9" s="1" t="s">
        <v>20</v>
      </c>
      <c r="C9" s="1">
        <v>654.0</v>
      </c>
      <c r="D9" s="2">
        <v>0.7065</v>
      </c>
      <c r="E9" s="2">
        <v>0.5909</v>
      </c>
      <c r="F9" s="2">
        <v>0.6436</v>
      </c>
      <c r="G9" s="2"/>
      <c r="H9" s="2"/>
      <c r="I9" s="3"/>
      <c r="J9" s="1">
        <v>65.0</v>
      </c>
      <c r="K9" s="1">
        <v>27.0</v>
      </c>
      <c r="L9" s="1">
        <v>517.0</v>
      </c>
      <c r="M9" s="1">
        <v>45.0</v>
      </c>
      <c r="N9" s="1">
        <v>0.8899</v>
      </c>
      <c r="O9" s="1">
        <v>0.6109</v>
      </c>
    </row>
    <row r="10">
      <c r="A10" s="4" t="s">
        <v>18</v>
      </c>
      <c r="B10" s="4" t="s">
        <v>20</v>
      </c>
      <c r="C10" s="4">
        <v>178.0</v>
      </c>
      <c r="D10" s="5">
        <v>0.6765</v>
      </c>
      <c r="E10" s="5">
        <v>0.7931</v>
      </c>
      <c r="F10" s="5">
        <v>0.7302</v>
      </c>
      <c r="G10" s="6">
        <f>(F10-F8)/F8</f>
        <v>0.1075382982</v>
      </c>
      <c r="H10" s="6">
        <f>(F10-F9)/F9</f>
        <v>0.1345556246</v>
      </c>
      <c r="I10" s="3">
        <v>1.0</v>
      </c>
      <c r="J10" s="1">
        <v>23.0</v>
      </c>
      <c r="K10" s="1">
        <v>11.0</v>
      </c>
      <c r="L10" s="1">
        <v>138.0</v>
      </c>
      <c r="M10" s="1">
        <v>6.0</v>
      </c>
      <c r="N10" s="1">
        <v>0.9045</v>
      </c>
      <c r="O10" s="1">
        <v>0.7667</v>
      </c>
    </row>
    <row r="11">
      <c r="A11" s="1" t="s">
        <v>15</v>
      </c>
      <c r="B11" s="1" t="s">
        <v>21</v>
      </c>
      <c r="C11" s="1">
        <v>4035.0</v>
      </c>
      <c r="D11" s="2">
        <v>0.6698</v>
      </c>
      <c r="E11" s="2">
        <v>0.4438</v>
      </c>
      <c r="F11" s="2">
        <v>0.5338</v>
      </c>
      <c r="G11" s="2"/>
      <c r="H11" s="2"/>
      <c r="I11" s="3"/>
      <c r="J11" s="1">
        <v>288.0</v>
      </c>
      <c r="K11" s="1">
        <v>142.0</v>
      </c>
      <c r="L11" s="1">
        <v>3244.0</v>
      </c>
      <c r="M11" s="1">
        <v>361.0</v>
      </c>
      <c r="N11" s="1">
        <v>0.8753</v>
      </c>
      <c r="O11" s="1">
        <v>0.4759</v>
      </c>
    </row>
    <row r="12">
      <c r="A12" s="1" t="s">
        <v>17</v>
      </c>
      <c r="B12" s="1" t="s">
        <v>21</v>
      </c>
      <c r="C12" s="1">
        <v>654.0</v>
      </c>
      <c r="D12" s="2">
        <v>0.7465</v>
      </c>
      <c r="E12" s="2">
        <v>0.4818</v>
      </c>
      <c r="F12" s="2">
        <v>0.5856</v>
      </c>
      <c r="G12" s="2"/>
      <c r="H12" s="2"/>
      <c r="I12" s="3"/>
      <c r="J12" s="1">
        <v>53.0</v>
      </c>
      <c r="K12" s="1">
        <v>18.0</v>
      </c>
      <c r="L12" s="1">
        <v>526.0</v>
      </c>
      <c r="M12" s="1">
        <v>57.0</v>
      </c>
      <c r="N12" s="1">
        <v>0.8853</v>
      </c>
      <c r="O12" s="1">
        <v>0.5186</v>
      </c>
    </row>
    <row r="13">
      <c r="A13" s="4" t="s">
        <v>18</v>
      </c>
      <c r="B13" s="4" t="s">
        <v>21</v>
      </c>
      <c r="C13" s="4">
        <v>178.0</v>
      </c>
      <c r="D13" s="5">
        <v>0.6333</v>
      </c>
      <c r="E13" s="5">
        <v>0.6552</v>
      </c>
      <c r="F13" s="5">
        <v>0.6441</v>
      </c>
      <c r="G13" s="6">
        <f>(F13-F11)/F11</f>
        <v>0.2066316973</v>
      </c>
      <c r="H13" s="6">
        <f>(F13-F12)/F12</f>
        <v>0.09989754098</v>
      </c>
      <c r="I13" s="3">
        <v>1.0</v>
      </c>
      <c r="J13" s="1">
        <v>19.0</v>
      </c>
      <c r="K13" s="1">
        <v>11.0</v>
      </c>
      <c r="L13" s="1">
        <v>138.0</v>
      </c>
      <c r="M13" s="1">
        <v>10.0</v>
      </c>
      <c r="N13" s="1">
        <v>0.882</v>
      </c>
      <c r="O13" s="1">
        <v>0.6507</v>
      </c>
    </row>
    <row r="14">
      <c r="A14" s="1" t="s">
        <v>15</v>
      </c>
      <c r="B14" s="1" t="s">
        <v>22</v>
      </c>
      <c r="C14" s="1">
        <v>4035.0</v>
      </c>
      <c r="D14" s="2">
        <v>0.6288</v>
      </c>
      <c r="E14" s="2">
        <v>0.8274</v>
      </c>
      <c r="F14" s="2">
        <v>0.7146</v>
      </c>
      <c r="G14" s="2"/>
      <c r="H14" s="2"/>
      <c r="I14" s="3"/>
      <c r="J14" s="1">
        <v>537.0</v>
      </c>
      <c r="K14" s="1">
        <v>317.0</v>
      </c>
      <c r="L14" s="1">
        <v>3069.0</v>
      </c>
      <c r="M14" s="1">
        <v>112.0</v>
      </c>
      <c r="N14" s="1">
        <v>0.8937</v>
      </c>
      <c r="O14" s="1">
        <v>0.7783</v>
      </c>
    </row>
    <row r="15">
      <c r="A15" s="1" t="s">
        <v>17</v>
      </c>
      <c r="B15" s="1" t="s">
        <v>22</v>
      </c>
      <c r="C15" s="1">
        <v>654.0</v>
      </c>
      <c r="D15" s="2">
        <v>0.5976</v>
      </c>
      <c r="E15" s="2">
        <v>0.8909</v>
      </c>
      <c r="F15" s="2">
        <v>0.7153</v>
      </c>
      <c r="G15" s="2"/>
      <c r="H15" s="2"/>
      <c r="I15" s="3"/>
      <c r="J15" s="1">
        <v>98.0</v>
      </c>
      <c r="K15" s="1">
        <v>66.0</v>
      </c>
      <c r="L15" s="1">
        <v>478.0</v>
      </c>
      <c r="M15" s="1">
        <v>12.0</v>
      </c>
      <c r="N15" s="1">
        <v>0.8807</v>
      </c>
      <c r="O15" s="1">
        <v>0.8113</v>
      </c>
    </row>
    <row r="16">
      <c r="A16" s="4" t="s">
        <v>18</v>
      </c>
      <c r="B16" s="4" t="s">
        <v>22</v>
      </c>
      <c r="C16" s="4">
        <v>178.0</v>
      </c>
      <c r="D16" s="5">
        <v>0.6757</v>
      </c>
      <c r="E16" s="5">
        <v>0.8621</v>
      </c>
      <c r="F16" s="5">
        <v>0.7576</v>
      </c>
      <c r="G16" s="6">
        <f>(F16-F14)/F14</f>
        <v>0.06017352365</v>
      </c>
      <c r="H16" s="6">
        <f>(F16-F15)/F15</f>
        <v>0.05913602684</v>
      </c>
      <c r="I16" s="3">
        <v>1.0</v>
      </c>
      <c r="J16" s="1">
        <v>25.0</v>
      </c>
      <c r="K16" s="1">
        <v>12.0</v>
      </c>
      <c r="L16" s="1">
        <v>137.0</v>
      </c>
      <c r="M16" s="1">
        <v>4.0</v>
      </c>
      <c r="N16" s="1">
        <v>0.9101</v>
      </c>
      <c r="O16" s="1">
        <v>0.817</v>
      </c>
    </row>
    <row r="17">
      <c r="A17" s="1" t="s">
        <v>15</v>
      </c>
      <c r="B17" s="1" t="s">
        <v>23</v>
      </c>
      <c r="C17" s="1">
        <v>4035.0</v>
      </c>
      <c r="D17" s="2">
        <v>0.4049</v>
      </c>
      <c r="E17" s="2">
        <v>0.6687</v>
      </c>
      <c r="F17" s="2">
        <v>0.5044</v>
      </c>
      <c r="G17" s="2"/>
      <c r="H17" s="2"/>
      <c r="I17" s="3"/>
      <c r="J17" s="1">
        <v>434.0</v>
      </c>
      <c r="K17" s="1">
        <v>638.0</v>
      </c>
      <c r="L17" s="1">
        <v>2748.0</v>
      </c>
      <c r="M17" s="1">
        <v>215.0</v>
      </c>
      <c r="N17" s="1">
        <v>0.7886</v>
      </c>
      <c r="O17" s="1">
        <v>0.5916</v>
      </c>
    </row>
    <row r="18">
      <c r="A18" s="1" t="s">
        <v>17</v>
      </c>
      <c r="B18" s="1" t="s">
        <v>23</v>
      </c>
      <c r="C18" s="1">
        <v>654.0</v>
      </c>
      <c r="D18" s="2">
        <v>0.4439</v>
      </c>
      <c r="E18" s="2">
        <v>0.7545</v>
      </c>
      <c r="F18" s="2">
        <v>0.5589</v>
      </c>
      <c r="G18" s="2"/>
      <c r="H18" s="2"/>
      <c r="I18" s="3"/>
      <c r="J18" s="1">
        <v>83.0</v>
      </c>
      <c r="K18" s="1">
        <v>104.0</v>
      </c>
      <c r="L18" s="1">
        <v>440.0</v>
      </c>
      <c r="M18" s="1">
        <v>27.0</v>
      </c>
      <c r="N18" s="1">
        <v>0.7997</v>
      </c>
      <c r="O18" s="1">
        <v>0.6619</v>
      </c>
    </row>
    <row r="19">
      <c r="A19" s="4" t="s">
        <v>18</v>
      </c>
      <c r="B19" s="4" t="s">
        <v>23</v>
      </c>
      <c r="C19" s="4">
        <v>178.0</v>
      </c>
      <c r="D19" s="5">
        <v>0.4694</v>
      </c>
      <c r="E19" s="5">
        <v>0.7931</v>
      </c>
      <c r="F19" s="5">
        <v>0.5897</v>
      </c>
      <c r="G19" s="6">
        <f>(F19-F17)/F17</f>
        <v>0.169111816</v>
      </c>
      <c r="H19" s="6">
        <f>(F19-F18)/F18</f>
        <v>0.05510824834</v>
      </c>
      <c r="I19" s="3">
        <v>1.0</v>
      </c>
      <c r="J19" s="1">
        <v>23.0</v>
      </c>
      <c r="K19" s="1">
        <v>26.0</v>
      </c>
      <c r="L19" s="1">
        <v>123.0</v>
      </c>
      <c r="M19" s="1">
        <v>6.0</v>
      </c>
      <c r="N19" s="1">
        <v>0.8202</v>
      </c>
      <c r="O19" s="1">
        <v>0.697</v>
      </c>
    </row>
    <row r="20">
      <c r="A20" s="4" t="s">
        <v>15</v>
      </c>
      <c r="B20" s="4" t="s">
        <v>24</v>
      </c>
      <c r="C20" s="4">
        <v>4035.0</v>
      </c>
      <c r="D20" s="5">
        <v>0.5649</v>
      </c>
      <c r="E20" s="5">
        <v>0.7643</v>
      </c>
      <c r="F20" s="5">
        <v>0.6496</v>
      </c>
      <c r="G20" s="2"/>
      <c r="H20" s="2"/>
      <c r="I20" s="3">
        <v>1.0</v>
      </c>
      <c r="J20" s="1">
        <v>496.0</v>
      </c>
      <c r="K20" s="1">
        <v>382.0</v>
      </c>
      <c r="L20" s="1">
        <v>3004.0</v>
      </c>
      <c r="M20" s="1">
        <v>153.0</v>
      </c>
      <c r="N20" s="1">
        <v>0.8674</v>
      </c>
      <c r="O20" s="1">
        <v>0.7139</v>
      </c>
    </row>
    <row r="21">
      <c r="A21" s="1" t="s">
        <v>17</v>
      </c>
      <c r="B21" s="1" t="s">
        <v>24</v>
      </c>
      <c r="C21" s="1">
        <v>654.0</v>
      </c>
      <c r="D21" s="2">
        <v>0.4881</v>
      </c>
      <c r="E21" s="2">
        <v>0.7455</v>
      </c>
      <c r="F21" s="2">
        <v>0.5899</v>
      </c>
      <c r="G21" s="2"/>
      <c r="H21" s="2"/>
      <c r="I21" s="3"/>
      <c r="J21" s="1">
        <v>82.0</v>
      </c>
      <c r="K21" s="1">
        <v>86.0</v>
      </c>
      <c r="L21" s="1">
        <v>458.0</v>
      </c>
      <c r="M21" s="1">
        <v>28.0</v>
      </c>
      <c r="N21" s="1">
        <v>0.8257</v>
      </c>
      <c r="O21" s="1">
        <v>0.6743</v>
      </c>
    </row>
    <row r="22">
      <c r="A22" s="1" t="s">
        <v>18</v>
      </c>
      <c r="B22" s="1" t="s">
        <v>24</v>
      </c>
      <c r="C22" s="1">
        <v>178.0</v>
      </c>
      <c r="D22" s="2">
        <v>0.4872</v>
      </c>
      <c r="E22" s="2">
        <v>0.6552</v>
      </c>
      <c r="F22" s="2">
        <v>0.5588</v>
      </c>
      <c r="G22" s="6">
        <f>(F22-F20)/F20</f>
        <v>-0.1397783251</v>
      </c>
      <c r="H22" s="6">
        <f>(F22-F21)/F21</f>
        <v>-0.05272080014</v>
      </c>
      <c r="I22" s="3"/>
      <c r="J22" s="1">
        <v>19.0</v>
      </c>
      <c r="K22" s="1">
        <v>20.0</v>
      </c>
      <c r="L22" s="1">
        <v>129.0</v>
      </c>
      <c r="M22" s="1">
        <v>10.0</v>
      </c>
      <c r="N22" s="1">
        <v>0.8315</v>
      </c>
      <c r="O22" s="1">
        <v>0.6129</v>
      </c>
    </row>
    <row r="23">
      <c r="A23" s="1" t="s">
        <v>15</v>
      </c>
      <c r="B23" s="1" t="s">
        <v>25</v>
      </c>
      <c r="C23" s="1">
        <v>4035.0</v>
      </c>
      <c r="D23" s="2">
        <v>0.3266</v>
      </c>
      <c r="E23" s="2">
        <v>0.7966</v>
      </c>
      <c r="F23" s="2">
        <v>0.4633</v>
      </c>
      <c r="G23" s="2"/>
      <c r="H23" s="2"/>
      <c r="I23" s="3"/>
      <c r="J23" s="1">
        <v>517.0</v>
      </c>
      <c r="K23" s="1">
        <v>1066.0</v>
      </c>
      <c r="L23" s="1">
        <v>2320.0</v>
      </c>
      <c r="M23" s="1">
        <v>132.0</v>
      </c>
      <c r="N23" s="1">
        <v>0.7031</v>
      </c>
      <c r="O23" s="1">
        <v>0.6186</v>
      </c>
    </row>
    <row r="24">
      <c r="A24" s="1" t="s">
        <v>17</v>
      </c>
      <c r="B24" s="1" t="s">
        <v>25</v>
      </c>
      <c r="C24" s="1">
        <v>654.0</v>
      </c>
      <c r="D24" s="2">
        <v>0.3413</v>
      </c>
      <c r="E24" s="2">
        <v>0.7818</v>
      </c>
      <c r="F24" s="2">
        <v>0.4751</v>
      </c>
      <c r="G24" s="2"/>
      <c r="H24" s="2"/>
      <c r="I24" s="3"/>
      <c r="J24" s="1">
        <v>86.0</v>
      </c>
      <c r="K24" s="1">
        <v>166.0</v>
      </c>
      <c r="L24" s="1">
        <v>378.0</v>
      </c>
      <c r="M24" s="1">
        <v>24.0</v>
      </c>
      <c r="N24" s="1">
        <v>0.7095</v>
      </c>
      <c r="O24" s="1">
        <v>0.6214</v>
      </c>
    </row>
    <row r="25">
      <c r="A25" s="4" t="s">
        <v>18</v>
      </c>
      <c r="B25" s="4" t="s">
        <v>25</v>
      </c>
      <c r="C25" s="4">
        <v>178.0</v>
      </c>
      <c r="D25" s="5">
        <v>0.431</v>
      </c>
      <c r="E25" s="5">
        <v>0.8621</v>
      </c>
      <c r="F25" s="5">
        <v>0.5747</v>
      </c>
      <c r="G25" s="6">
        <f>(F25-F23)/F23</f>
        <v>0.2404489532</v>
      </c>
      <c r="H25" s="6">
        <f>(F25-F24)/F24</f>
        <v>0.2096400758</v>
      </c>
      <c r="I25" s="3">
        <v>1.0</v>
      </c>
      <c r="J25" s="1">
        <v>25.0</v>
      </c>
      <c r="K25" s="1">
        <v>33.0</v>
      </c>
      <c r="L25" s="1">
        <v>116.0</v>
      </c>
      <c r="M25" s="1">
        <v>4.0</v>
      </c>
      <c r="N25" s="1">
        <v>0.7921</v>
      </c>
      <c r="O25" s="1">
        <v>0.7184</v>
      </c>
    </row>
    <row r="26">
      <c r="A26" s="1" t="s">
        <v>15</v>
      </c>
      <c r="B26" s="1" t="s">
        <v>26</v>
      </c>
      <c r="C26" s="1">
        <v>4035.0</v>
      </c>
      <c r="D26" s="2">
        <v>0.5738</v>
      </c>
      <c r="E26" s="2">
        <v>0.6287</v>
      </c>
      <c r="F26" s="2">
        <v>0.6</v>
      </c>
      <c r="G26" s="2"/>
      <c r="H26" s="2"/>
      <c r="I26" s="3"/>
      <c r="J26" s="1">
        <v>408.0</v>
      </c>
      <c r="K26" s="1">
        <v>303.0</v>
      </c>
      <c r="L26" s="1">
        <v>3083.0</v>
      </c>
      <c r="M26" s="1">
        <v>241.0</v>
      </c>
      <c r="N26" s="1">
        <v>0.8652</v>
      </c>
      <c r="O26" s="1">
        <v>0.6169</v>
      </c>
    </row>
    <row r="27">
      <c r="A27" s="1" t="s">
        <v>17</v>
      </c>
      <c r="B27" s="1" t="s">
        <v>26</v>
      </c>
      <c r="C27" s="1">
        <v>654.0</v>
      </c>
      <c r="D27" s="2">
        <v>0.6</v>
      </c>
      <c r="E27" s="2">
        <v>0.6545</v>
      </c>
      <c r="F27" s="2">
        <v>0.6261</v>
      </c>
      <c r="G27" s="2"/>
      <c r="H27" s="2"/>
      <c r="I27" s="3"/>
      <c r="J27" s="1">
        <v>72.0</v>
      </c>
      <c r="K27" s="1">
        <v>48.0</v>
      </c>
      <c r="L27" s="1">
        <v>496.0</v>
      </c>
      <c r="M27" s="1">
        <v>38.0</v>
      </c>
      <c r="N27" s="1">
        <v>0.8685</v>
      </c>
      <c r="O27" s="1">
        <v>0.6429</v>
      </c>
    </row>
    <row r="28">
      <c r="A28" s="4" t="s">
        <v>18</v>
      </c>
      <c r="B28" s="4" t="s">
        <v>26</v>
      </c>
      <c r="C28" s="4">
        <v>178.0</v>
      </c>
      <c r="D28" s="5">
        <v>0.6786</v>
      </c>
      <c r="E28" s="5">
        <v>0.6552</v>
      </c>
      <c r="F28" s="5">
        <v>0.6667</v>
      </c>
      <c r="G28" s="6">
        <f>(F28-F26)/F26</f>
        <v>0.1111666667</v>
      </c>
      <c r="H28" s="6">
        <f>(F28-F27)/F27</f>
        <v>0.06484587127</v>
      </c>
      <c r="I28" s="3">
        <v>1.0</v>
      </c>
      <c r="J28" s="1">
        <v>19.0</v>
      </c>
      <c r="K28" s="1">
        <v>9.0</v>
      </c>
      <c r="L28" s="1">
        <v>140.0</v>
      </c>
      <c r="M28" s="1">
        <v>10.0</v>
      </c>
      <c r="N28" s="1">
        <v>0.8933</v>
      </c>
      <c r="O28" s="1">
        <v>0.6597</v>
      </c>
    </row>
    <row r="29">
      <c r="A29" s="1" t="s">
        <v>15</v>
      </c>
      <c r="B29" s="1" t="s">
        <v>27</v>
      </c>
      <c r="C29" s="1">
        <v>4035.0</v>
      </c>
      <c r="D29" s="2">
        <v>0.6662</v>
      </c>
      <c r="E29" s="2">
        <v>0.7103</v>
      </c>
      <c r="F29" s="2">
        <v>0.6875</v>
      </c>
      <c r="G29" s="2"/>
      <c r="H29" s="2"/>
      <c r="I29" s="3"/>
      <c r="J29" s="1">
        <v>461.0</v>
      </c>
      <c r="K29" s="1">
        <v>231.0</v>
      </c>
      <c r="L29" s="1">
        <v>3155.0</v>
      </c>
      <c r="M29" s="1">
        <v>188.0</v>
      </c>
      <c r="N29" s="1">
        <v>0.8962</v>
      </c>
      <c r="O29" s="1">
        <v>0.701</v>
      </c>
    </row>
    <row r="30">
      <c r="A30" s="1" t="s">
        <v>17</v>
      </c>
      <c r="B30" s="1" t="s">
        <v>27</v>
      </c>
      <c r="C30" s="1">
        <v>654.0</v>
      </c>
      <c r="D30" s="2">
        <v>0.7037</v>
      </c>
      <c r="E30" s="2">
        <v>0.6909</v>
      </c>
      <c r="F30" s="2">
        <v>0.6972</v>
      </c>
      <c r="G30" s="2"/>
      <c r="H30" s="2"/>
      <c r="I30" s="3"/>
      <c r="J30" s="1">
        <v>76.0</v>
      </c>
      <c r="K30" s="1">
        <v>32.0</v>
      </c>
      <c r="L30" s="1">
        <v>512.0</v>
      </c>
      <c r="M30" s="1">
        <v>34.0</v>
      </c>
      <c r="N30" s="1">
        <v>0.8991</v>
      </c>
      <c r="O30" s="1">
        <v>0.6934</v>
      </c>
    </row>
    <row r="31">
      <c r="A31" s="4" t="s">
        <v>18</v>
      </c>
      <c r="B31" s="4" t="s">
        <v>27</v>
      </c>
      <c r="C31" s="4">
        <v>178.0</v>
      </c>
      <c r="D31" s="5">
        <v>0.7273</v>
      </c>
      <c r="E31" s="5">
        <v>0.8276</v>
      </c>
      <c r="F31" s="5">
        <v>0.7742</v>
      </c>
      <c r="G31" s="6">
        <f>(F31-F29)/F29</f>
        <v>0.1261090909</v>
      </c>
      <c r="H31" s="6">
        <f>(F31-F30)/F30</f>
        <v>0.1104417671</v>
      </c>
      <c r="I31" s="3">
        <v>1.0</v>
      </c>
      <c r="J31" s="1">
        <v>24.0</v>
      </c>
      <c r="K31" s="1">
        <v>9.0</v>
      </c>
      <c r="L31" s="1">
        <v>140.0</v>
      </c>
      <c r="M31" s="1">
        <v>5.0</v>
      </c>
      <c r="N31" s="1">
        <v>0.9213</v>
      </c>
      <c r="O31" s="1">
        <v>0.8054</v>
      </c>
    </row>
    <row r="32">
      <c r="A32" s="4" t="s">
        <v>15</v>
      </c>
      <c r="B32" s="4" t="s">
        <v>28</v>
      </c>
      <c r="C32" s="4">
        <v>4035.0</v>
      </c>
      <c r="D32" s="5">
        <v>0.6462</v>
      </c>
      <c r="E32" s="5">
        <v>0.7149</v>
      </c>
      <c r="F32" s="5">
        <v>0.6789</v>
      </c>
      <c r="G32" s="2"/>
      <c r="H32" s="2"/>
      <c r="I32" s="3">
        <v>1.0</v>
      </c>
      <c r="J32" s="1">
        <v>464.0</v>
      </c>
      <c r="K32" s="1">
        <v>254.0</v>
      </c>
      <c r="L32" s="1">
        <v>3132.0</v>
      </c>
      <c r="M32" s="1">
        <v>185.0</v>
      </c>
      <c r="N32" s="1">
        <v>0.8912</v>
      </c>
      <c r="O32" s="1">
        <v>0.7001</v>
      </c>
    </row>
    <row r="33">
      <c r="A33" s="1" t="s">
        <v>17</v>
      </c>
      <c r="B33" s="1" t="s">
        <v>28</v>
      </c>
      <c r="C33" s="1">
        <v>654.0</v>
      </c>
      <c r="D33" s="2">
        <v>0.5591</v>
      </c>
      <c r="E33" s="2">
        <v>0.6455</v>
      </c>
      <c r="F33" s="2">
        <v>0.5992</v>
      </c>
      <c r="G33" s="2"/>
      <c r="H33" s="2"/>
      <c r="I33" s="3"/>
      <c r="J33" s="1">
        <v>71.0</v>
      </c>
      <c r="K33" s="1">
        <v>56.0</v>
      </c>
      <c r="L33" s="1">
        <v>488.0</v>
      </c>
      <c r="M33" s="1">
        <v>39.0</v>
      </c>
      <c r="N33" s="1">
        <v>0.8547</v>
      </c>
      <c r="O33" s="1">
        <v>0.6261</v>
      </c>
    </row>
    <row r="34">
      <c r="A34" s="1" t="s">
        <v>18</v>
      </c>
      <c r="B34" s="1" t="s">
        <v>28</v>
      </c>
      <c r="C34" s="1">
        <v>178.0</v>
      </c>
      <c r="D34" s="2">
        <v>0.5312</v>
      </c>
      <c r="E34" s="2">
        <v>0.5862</v>
      </c>
      <c r="F34" s="2">
        <v>0.5574</v>
      </c>
      <c r="G34" s="6">
        <f>(F34-F32)/F32</f>
        <v>-0.1789659744</v>
      </c>
      <c r="H34" s="6">
        <f>(F34-F33)/F33</f>
        <v>-0.06975967957</v>
      </c>
      <c r="I34" s="3"/>
      <c r="J34" s="1">
        <v>17.0</v>
      </c>
      <c r="K34" s="1">
        <v>15.0</v>
      </c>
      <c r="L34" s="1">
        <v>134.0</v>
      </c>
      <c r="M34" s="1">
        <v>12.0</v>
      </c>
      <c r="N34" s="1">
        <v>0.8483</v>
      </c>
      <c r="O34" s="1">
        <v>0.5743</v>
      </c>
    </row>
    <row r="35">
      <c r="A35" s="4" t="s">
        <v>15</v>
      </c>
      <c r="B35" s="4" t="s">
        <v>29</v>
      </c>
      <c r="C35" s="4">
        <v>4035.0</v>
      </c>
      <c r="D35" s="5">
        <v>0.6147</v>
      </c>
      <c r="E35" s="5">
        <v>0.7227</v>
      </c>
      <c r="F35" s="5">
        <v>0.6643</v>
      </c>
      <c r="G35" s="2"/>
      <c r="H35" s="2"/>
      <c r="I35" s="3">
        <v>1.0</v>
      </c>
      <c r="J35" s="1">
        <v>469.0</v>
      </c>
      <c r="K35" s="1">
        <v>294.0</v>
      </c>
      <c r="L35" s="1">
        <v>3092.0</v>
      </c>
      <c r="M35" s="1">
        <v>180.0</v>
      </c>
      <c r="N35" s="1">
        <v>0.8825</v>
      </c>
      <c r="O35" s="1">
        <v>0.6981</v>
      </c>
    </row>
    <row r="36">
      <c r="A36" s="1" t="s">
        <v>17</v>
      </c>
      <c r="B36" s="1" t="s">
        <v>29</v>
      </c>
      <c r="C36" s="1">
        <v>654.0</v>
      </c>
      <c r="D36" s="2">
        <v>0.6356</v>
      </c>
      <c r="E36" s="2">
        <v>0.6818</v>
      </c>
      <c r="F36" s="2">
        <v>0.6579</v>
      </c>
      <c r="G36" s="2"/>
      <c r="H36" s="2"/>
      <c r="I36" s="3"/>
      <c r="J36" s="1">
        <v>75.0</v>
      </c>
      <c r="K36" s="1">
        <v>43.0</v>
      </c>
      <c r="L36" s="1">
        <v>501.0</v>
      </c>
      <c r="M36" s="1">
        <v>35.0</v>
      </c>
      <c r="N36" s="1">
        <v>0.8807</v>
      </c>
      <c r="O36" s="1">
        <v>0.672</v>
      </c>
    </row>
    <row r="37">
      <c r="A37" s="1" t="s">
        <v>18</v>
      </c>
      <c r="B37" s="1" t="s">
        <v>29</v>
      </c>
      <c r="C37" s="1">
        <v>178.0</v>
      </c>
      <c r="D37" s="2">
        <v>0.5625</v>
      </c>
      <c r="E37" s="2">
        <v>0.6207</v>
      </c>
      <c r="F37" s="2">
        <v>0.5902</v>
      </c>
      <c r="G37" s="6">
        <f>(F37-F35)/F35</f>
        <v>-0.1115459883</v>
      </c>
      <c r="H37" s="6">
        <f>(F37-F36)/F36</f>
        <v>-0.1029031768</v>
      </c>
      <c r="I37" s="3"/>
      <c r="J37" s="1">
        <v>18.0</v>
      </c>
      <c r="K37" s="1">
        <v>14.0</v>
      </c>
      <c r="L37" s="1">
        <v>135.0</v>
      </c>
      <c r="M37" s="1">
        <v>11.0</v>
      </c>
      <c r="N37" s="1">
        <v>0.8596</v>
      </c>
      <c r="O37" s="1">
        <v>0.6081</v>
      </c>
    </row>
    <row r="38">
      <c r="D38" s="7"/>
      <c r="E38" s="7"/>
      <c r="F38" s="7"/>
      <c r="G38" s="7"/>
      <c r="H38" s="7"/>
      <c r="I38" s="7"/>
    </row>
    <row r="39">
      <c r="D39" s="7"/>
      <c r="E39" s="7"/>
      <c r="F39" s="7"/>
      <c r="G39" s="8">
        <f t="shared" ref="G39:H39" si="1">AVERAGE(G2:G37)</f>
        <v>0.06387070612</v>
      </c>
      <c r="H39" s="8">
        <f t="shared" si="1"/>
        <v>0.04595225119</v>
      </c>
      <c r="I39" s="7"/>
    </row>
    <row r="40">
      <c r="D40" s="7"/>
      <c r="E40" s="7"/>
      <c r="F40" s="7"/>
      <c r="G40" s="8">
        <f t="shared" ref="G40:H40" si="2">MEDIAN(G2:G37)</f>
        <v>0.1045615875</v>
      </c>
      <c r="H40" s="8">
        <f t="shared" si="2"/>
        <v>0.05766205453</v>
      </c>
      <c r="I40" s="7"/>
    </row>
    <row r="41">
      <c r="D41" s="7"/>
      <c r="E41" s="7"/>
      <c r="F41" s="7"/>
      <c r="G41" s="7"/>
      <c r="H41" s="7"/>
      <c r="I41" s="7"/>
    </row>
    <row r="42">
      <c r="D42" s="7"/>
      <c r="E42" s="7"/>
      <c r="F42" s="7"/>
      <c r="G42" s="7"/>
      <c r="H42" s="7"/>
      <c r="I42" s="7"/>
    </row>
    <row r="43">
      <c r="A43" s="1" t="s">
        <v>30</v>
      </c>
      <c r="D43" s="7"/>
      <c r="E43" s="7"/>
      <c r="F43" s="7"/>
      <c r="G43" s="7"/>
      <c r="H43" s="7"/>
      <c r="I43" s="7"/>
    </row>
    <row r="44">
      <c r="B44" s="1" t="s">
        <v>31</v>
      </c>
      <c r="D44" s="7"/>
      <c r="E44" s="7"/>
      <c r="F44" s="7"/>
      <c r="G44" s="7"/>
      <c r="H44" s="7"/>
      <c r="I44" s="7"/>
    </row>
    <row r="45">
      <c r="D45" s="7"/>
      <c r="E45" s="7"/>
      <c r="F45" s="7"/>
      <c r="G45" s="7"/>
      <c r="H45" s="7"/>
      <c r="I45" s="7"/>
    </row>
    <row r="46">
      <c r="B46" s="1" t="s">
        <v>32</v>
      </c>
      <c r="D46" s="7"/>
      <c r="E46" s="7"/>
      <c r="F46" s="7"/>
      <c r="G46" s="7"/>
      <c r="H46" s="7"/>
      <c r="I46" s="7"/>
    </row>
    <row r="47">
      <c r="D47" s="7"/>
      <c r="E47" s="7"/>
      <c r="F47" s="7"/>
      <c r="G47" s="7"/>
      <c r="H47" s="7"/>
      <c r="I47" s="7"/>
    </row>
    <row r="48">
      <c r="D48" s="7"/>
      <c r="E48" s="7"/>
      <c r="F48" s="7"/>
      <c r="G48" s="7"/>
      <c r="H48" s="7"/>
      <c r="I48" s="7"/>
    </row>
    <row r="49">
      <c r="D49" s="7"/>
      <c r="E49" s="7"/>
      <c r="F49" s="7"/>
      <c r="G49" s="7"/>
      <c r="H49" s="7"/>
      <c r="I49" s="7"/>
    </row>
    <row r="50">
      <c r="D50" s="7"/>
      <c r="E50" s="7"/>
      <c r="F50" s="7"/>
      <c r="G50" s="7"/>
      <c r="H50" s="7"/>
      <c r="I50" s="7"/>
    </row>
    <row r="51">
      <c r="D51" s="7"/>
      <c r="E51" s="7"/>
      <c r="F51" s="7"/>
      <c r="G51" s="7"/>
      <c r="H51" s="7"/>
      <c r="I51" s="7"/>
    </row>
    <row r="52">
      <c r="D52" s="7"/>
      <c r="E52" s="7"/>
      <c r="F52" s="7"/>
      <c r="G52" s="7"/>
      <c r="H52" s="7"/>
      <c r="I52" s="7"/>
    </row>
    <row r="53">
      <c r="D53" s="7"/>
      <c r="E53" s="7"/>
      <c r="F53" s="7"/>
      <c r="G53" s="7"/>
      <c r="H53" s="7"/>
      <c r="I53" s="7"/>
    </row>
    <row r="54">
      <c r="D54" s="7"/>
      <c r="E54" s="7"/>
      <c r="F54" s="7"/>
      <c r="G54" s="7"/>
      <c r="H54" s="7"/>
      <c r="I54" s="7"/>
    </row>
    <row r="55">
      <c r="D55" s="7"/>
      <c r="E55" s="7"/>
      <c r="F55" s="7"/>
      <c r="G55" s="7"/>
      <c r="H55" s="7"/>
      <c r="I55" s="7"/>
    </row>
    <row r="56">
      <c r="D56" s="7"/>
      <c r="E56" s="7"/>
      <c r="F56" s="7"/>
      <c r="G56" s="7"/>
      <c r="H56" s="7"/>
      <c r="I56" s="7"/>
    </row>
    <row r="57">
      <c r="D57" s="7"/>
      <c r="E57" s="7"/>
      <c r="F57" s="7"/>
      <c r="G57" s="7"/>
      <c r="H57" s="7"/>
      <c r="I57" s="7"/>
    </row>
    <row r="58">
      <c r="D58" s="7"/>
      <c r="E58" s="7"/>
      <c r="F58" s="7"/>
      <c r="G58" s="7"/>
      <c r="H58" s="7"/>
      <c r="I58" s="7"/>
    </row>
    <row r="59">
      <c r="D59" s="7"/>
      <c r="E59" s="7"/>
      <c r="F59" s="7"/>
      <c r="G59" s="7"/>
      <c r="H59" s="7"/>
      <c r="I59" s="7"/>
    </row>
    <row r="60">
      <c r="D60" s="7"/>
      <c r="E60" s="7"/>
      <c r="F60" s="7"/>
      <c r="G60" s="7"/>
      <c r="H60" s="7"/>
      <c r="I60" s="7"/>
    </row>
    <row r="61">
      <c r="D61" s="7"/>
      <c r="E61" s="7"/>
      <c r="F61" s="7"/>
      <c r="G61" s="7"/>
      <c r="H61" s="7"/>
      <c r="I61" s="7"/>
    </row>
    <row r="62">
      <c r="D62" s="7"/>
      <c r="E62" s="7"/>
      <c r="F62" s="7"/>
      <c r="G62" s="7"/>
      <c r="H62" s="7"/>
      <c r="I62" s="7"/>
    </row>
    <row r="63">
      <c r="D63" s="7"/>
      <c r="E63" s="7"/>
      <c r="F63" s="7"/>
      <c r="G63" s="7"/>
      <c r="H63" s="7"/>
      <c r="I63" s="7"/>
    </row>
    <row r="64">
      <c r="D64" s="7"/>
      <c r="E64" s="7"/>
      <c r="F64" s="7"/>
      <c r="G64" s="7"/>
      <c r="H64" s="7"/>
      <c r="I64" s="7"/>
    </row>
    <row r="65">
      <c r="D65" s="7"/>
      <c r="E65" s="7"/>
      <c r="F65" s="7"/>
      <c r="G65" s="7"/>
      <c r="H65" s="7"/>
      <c r="I65" s="7"/>
    </row>
    <row r="66">
      <c r="D66" s="7"/>
      <c r="E66" s="7"/>
      <c r="F66" s="7"/>
      <c r="G66" s="7"/>
      <c r="H66" s="7"/>
      <c r="I66" s="7"/>
    </row>
    <row r="67">
      <c r="D67" s="7"/>
      <c r="E67" s="7"/>
      <c r="F67" s="7"/>
      <c r="G67" s="7"/>
      <c r="H67" s="7"/>
      <c r="I67" s="7"/>
    </row>
    <row r="68">
      <c r="D68" s="7"/>
      <c r="E68" s="7"/>
      <c r="F68" s="7"/>
      <c r="G68" s="7"/>
      <c r="H68" s="7"/>
      <c r="I68" s="7"/>
    </row>
    <row r="69">
      <c r="D69" s="7"/>
      <c r="E69" s="7"/>
      <c r="F69" s="7"/>
      <c r="G69" s="7"/>
      <c r="H69" s="7"/>
      <c r="I69" s="7"/>
    </row>
    <row r="70">
      <c r="D70" s="7"/>
      <c r="E70" s="7"/>
      <c r="F70" s="7"/>
      <c r="G70" s="7"/>
      <c r="H70" s="7"/>
      <c r="I70" s="7"/>
    </row>
    <row r="71">
      <c r="D71" s="7"/>
      <c r="E71" s="7"/>
      <c r="F71" s="7"/>
      <c r="G71" s="7"/>
      <c r="H71" s="7"/>
      <c r="I71" s="7"/>
    </row>
    <row r="72">
      <c r="D72" s="7"/>
      <c r="E72" s="7"/>
      <c r="F72" s="7"/>
      <c r="G72" s="7"/>
      <c r="H72" s="7"/>
      <c r="I72" s="7"/>
    </row>
    <row r="73">
      <c r="D73" s="7"/>
      <c r="E73" s="7"/>
      <c r="F73" s="7"/>
      <c r="G73" s="7"/>
      <c r="H73" s="7"/>
      <c r="I73" s="7"/>
    </row>
    <row r="74">
      <c r="D74" s="7"/>
      <c r="E74" s="7"/>
      <c r="F74" s="7"/>
      <c r="G74" s="7"/>
      <c r="H74" s="7"/>
      <c r="I74" s="7"/>
    </row>
    <row r="75">
      <c r="D75" s="7"/>
      <c r="E75" s="7"/>
      <c r="F75" s="7"/>
      <c r="G75" s="7"/>
      <c r="H75" s="7"/>
      <c r="I75" s="7"/>
    </row>
    <row r="76">
      <c r="D76" s="7"/>
      <c r="E76" s="7"/>
      <c r="F76" s="7"/>
      <c r="G76" s="7"/>
      <c r="H76" s="7"/>
      <c r="I76" s="7"/>
    </row>
    <row r="77">
      <c r="D77" s="7"/>
      <c r="E77" s="7"/>
      <c r="F77" s="7"/>
      <c r="G77" s="7"/>
      <c r="H77" s="7"/>
      <c r="I77" s="7"/>
    </row>
    <row r="78">
      <c r="D78" s="7"/>
      <c r="E78" s="7"/>
      <c r="F78" s="7"/>
      <c r="G78" s="7"/>
      <c r="H78" s="7"/>
      <c r="I78" s="7"/>
    </row>
    <row r="79">
      <c r="D79" s="7"/>
      <c r="E79" s="7"/>
      <c r="F79" s="7"/>
      <c r="G79" s="7"/>
      <c r="H79" s="7"/>
      <c r="I79" s="7"/>
    </row>
    <row r="80">
      <c r="D80" s="7"/>
      <c r="E80" s="7"/>
      <c r="F80" s="7"/>
      <c r="G80" s="7"/>
      <c r="H80" s="7"/>
      <c r="I80" s="7"/>
    </row>
    <row r="81">
      <c r="D81" s="7"/>
      <c r="E81" s="7"/>
      <c r="F81" s="7"/>
      <c r="G81" s="7"/>
      <c r="H81" s="7"/>
      <c r="I81" s="7"/>
    </row>
    <row r="82">
      <c r="D82" s="7"/>
      <c r="E82" s="7"/>
      <c r="F82" s="7"/>
      <c r="G82" s="7"/>
      <c r="H82" s="7"/>
      <c r="I82" s="7"/>
    </row>
    <row r="83">
      <c r="D83" s="7"/>
      <c r="E83" s="7"/>
      <c r="F83" s="7"/>
      <c r="G83" s="7"/>
      <c r="H83" s="7"/>
      <c r="I83" s="7"/>
    </row>
    <row r="84">
      <c r="D84" s="7"/>
      <c r="E84" s="7"/>
      <c r="F84" s="7"/>
      <c r="G84" s="7"/>
      <c r="H84" s="7"/>
      <c r="I84" s="7"/>
    </row>
    <row r="85">
      <c r="D85" s="7"/>
      <c r="E85" s="7"/>
      <c r="F85" s="7"/>
      <c r="G85" s="7"/>
      <c r="H85" s="7"/>
      <c r="I85" s="7"/>
    </row>
    <row r="86">
      <c r="D86" s="7"/>
      <c r="E86" s="7"/>
      <c r="F86" s="7"/>
      <c r="G86" s="7"/>
      <c r="H86" s="7"/>
      <c r="I86" s="7"/>
    </row>
    <row r="87">
      <c r="D87" s="7"/>
      <c r="E87" s="7"/>
      <c r="F87" s="7"/>
      <c r="G87" s="7"/>
      <c r="H87" s="7"/>
      <c r="I87" s="7"/>
    </row>
    <row r="88">
      <c r="D88" s="7"/>
      <c r="E88" s="7"/>
      <c r="F88" s="7"/>
      <c r="G88" s="7"/>
      <c r="H88" s="7"/>
      <c r="I88" s="7"/>
    </row>
    <row r="89">
      <c r="D89" s="7"/>
      <c r="E89" s="7"/>
      <c r="F89" s="7"/>
      <c r="G89" s="7"/>
      <c r="H89" s="7"/>
      <c r="I89" s="7"/>
    </row>
    <row r="90">
      <c r="D90" s="7"/>
      <c r="E90" s="7"/>
      <c r="F90" s="7"/>
      <c r="G90" s="7"/>
      <c r="H90" s="7"/>
      <c r="I90" s="7"/>
    </row>
    <row r="91">
      <c r="D91" s="7"/>
      <c r="E91" s="7"/>
      <c r="F91" s="7"/>
      <c r="G91" s="7"/>
      <c r="H91" s="7"/>
      <c r="I91" s="7"/>
    </row>
    <row r="92">
      <c r="D92" s="7"/>
      <c r="E92" s="7"/>
      <c r="F92" s="7"/>
      <c r="G92" s="7"/>
      <c r="H92" s="7"/>
      <c r="I92" s="7"/>
    </row>
    <row r="93">
      <c r="D93" s="7"/>
      <c r="E93" s="7"/>
      <c r="F93" s="7"/>
      <c r="G93" s="7"/>
      <c r="H93" s="7"/>
      <c r="I93" s="7"/>
    </row>
    <row r="94">
      <c r="D94" s="7"/>
      <c r="E94" s="7"/>
      <c r="F94" s="7"/>
      <c r="G94" s="7"/>
      <c r="H94" s="7"/>
      <c r="I94" s="7"/>
    </row>
    <row r="95">
      <c r="D95" s="7"/>
      <c r="E95" s="7"/>
      <c r="F95" s="7"/>
      <c r="G95" s="7"/>
      <c r="H95" s="7"/>
      <c r="I95" s="7"/>
    </row>
    <row r="96">
      <c r="D96" s="7"/>
      <c r="E96" s="7"/>
      <c r="F96" s="7"/>
      <c r="G96" s="7"/>
      <c r="H96" s="7"/>
      <c r="I96" s="7"/>
    </row>
    <row r="97">
      <c r="D97" s="7"/>
      <c r="E97" s="7"/>
      <c r="F97" s="7"/>
      <c r="G97" s="7"/>
      <c r="H97" s="7"/>
      <c r="I97" s="7"/>
    </row>
    <row r="98">
      <c r="D98" s="7"/>
      <c r="E98" s="7"/>
      <c r="F98" s="7"/>
      <c r="G98" s="7"/>
      <c r="H98" s="7"/>
      <c r="I98" s="7"/>
    </row>
    <row r="99">
      <c r="D99" s="7"/>
      <c r="E99" s="7"/>
      <c r="F99" s="7"/>
      <c r="G99" s="7"/>
      <c r="H99" s="7"/>
      <c r="I99" s="7"/>
    </row>
    <row r="100">
      <c r="D100" s="7"/>
      <c r="E100" s="7"/>
      <c r="F100" s="7"/>
      <c r="G100" s="7"/>
      <c r="H100" s="7"/>
      <c r="I100" s="7"/>
    </row>
    <row r="101">
      <c r="D101" s="7"/>
      <c r="E101" s="7"/>
      <c r="F101" s="7"/>
      <c r="G101" s="7"/>
      <c r="H101" s="7"/>
      <c r="I101" s="7"/>
    </row>
    <row r="102">
      <c r="D102" s="7"/>
      <c r="E102" s="7"/>
      <c r="F102" s="7"/>
      <c r="G102" s="7"/>
      <c r="H102" s="7"/>
      <c r="I102" s="7"/>
    </row>
    <row r="103">
      <c r="D103" s="7"/>
      <c r="E103" s="7"/>
      <c r="F103" s="7"/>
      <c r="G103" s="7"/>
      <c r="H103" s="7"/>
      <c r="I103" s="7"/>
    </row>
    <row r="104">
      <c r="D104" s="7"/>
      <c r="E104" s="7"/>
      <c r="F104" s="7"/>
      <c r="G104" s="7"/>
      <c r="H104" s="7"/>
      <c r="I104" s="7"/>
    </row>
    <row r="105">
      <c r="D105" s="7"/>
      <c r="E105" s="7"/>
      <c r="F105" s="7"/>
      <c r="G105" s="7"/>
      <c r="H105" s="7"/>
      <c r="I105" s="7"/>
    </row>
    <row r="106">
      <c r="D106" s="7"/>
      <c r="E106" s="7"/>
      <c r="F106" s="7"/>
      <c r="G106" s="7"/>
      <c r="H106" s="7"/>
      <c r="I106" s="7"/>
    </row>
    <row r="107">
      <c r="D107" s="7"/>
      <c r="E107" s="7"/>
      <c r="F107" s="7"/>
      <c r="G107" s="7"/>
      <c r="H107" s="7"/>
      <c r="I107" s="7"/>
    </row>
    <row r="108">
      <c r="D108" s="7"/>
      <c r="E108" s="7"/>
      <c r="F108" s="7"/>
      <c r="G108" s="7"/>
      <c r="H108" s="7"/>
      <c r="I108" s="7"/>
    </row>
    <row r="109">
      <c r="D109" s="7"/>
      <c r="E109" s="7"/>
      <c r="F109" s="7"/>
      <c r="G109" s="7"/>
      <c r="H109" s="7"/>
      <c r="I109" s="7"/>
    </row>
    <row r="110">
      <c r="D110" s="7"/>
      <c r="E110" s="7"/>
      <c r="F110" s="7"/>
      <c r="G110" s="7"/>
      <c r="H110" s="7"/>
      <c r="I110" s="7"/>
    </row>
    <row r="111">
      <c r="D111" s="7"/>
      <c r="E111" s="7"/>
      <c r="F111" s="7"/>
      <c r="G111" s="7"/>
      <c r="H111" s="7"/>
      <c r="I111" s="7"/>
    </row>
    <row r="112">
      <c r="D112" s="7"/>
      <c r="E112" s="7"/>
      <c r="F112" s="7"/>
      <c r="G112" s="7"/>
      <c r="H112" s="7"/>
      <c r="I112" s="7"/>
    </row>
    <row r="113">
      <c r="D113" s="7"/>
      <c r="E113" s="7"/>
      <c r="F113" s="7"/>
      <c r="G113" s="7"/>
      <c r="H113" s="7"/>
      <c r="I113" s="7"/>
    </row>
    <row r="114">
      <c r="D114" s="7"/>
      <c r="E114" s="7"/>
      <c r="F114" s="7"/>
      <c r="G114" s="7"/>
      <c r="H114" s="7"/>
      <c r="I114" s="7"/>
    </row>
    <row r="115">
      <c r="D115" s="7"/>
      <c r="E115" s="7"/>
      <c r="F115" s="7"/>
      <c r="G115" s="7"/>
      <c r="H115" s="7"/>
      <c r="I115" s="7"/>
    </row>
    <row r="116">
      <c r="D116" s="7"/>
      <c r="E116" s="7"/>
      <c r="F116" s="7"/>
      <c r="G116" s="7"/>
      <c r="H116" s="7"/>
      <c r="I116" s="7"/>
    </row>
    <row r="117">
      <c r="D117" s="7"/>
      <c r="E117" s="7"/>
      <c r="F117" s="7"/>
      <c r="G117" s="7"/>
      <c r="H117" s="7"/>
      <c r="I117" s="7"/>
    </row>
    <row r="118">
      <c r="D118" s="7"/>
      <c r="E118" s="7"/>
      <c r="F118" s="7"/>
      <c r="G118" s="7"/>
      <c r="H118" s="7"/>
      <c r="I118" s="7"/>
    </row>
    <row r="119">
      <c r="D119" s="7"/>
      <c r="E119" s="7"/>
      <c r="F119" s="7"/>
      <c r="G119" s="7"/>
      <c r="H119" s="7"/>
      <c r="I119" s="7"/>
    </row>
    <row r="120">
      <c r="D120" s="7"/>
      <c r="E120" s="7"/>
      <c r="F120" s="7"/>
      <c r="G120" s="7"/>
      <c r="H120" s="7"/>
      <c r="I120" s="7"/>
    </row>
    <row r="121">
      <c r="D121" s="7"/>
      <c r="E121" s="7"/>
      <c r="F121" s="7"/>
      <c r="G121" s="7"/>
      <c r="H121" s="7"/>
      <c r="I121" s="7"/>
    </row>
    <row r="122">
      <c r="D122" s="7"/>
      <c r="E122" s="7"/>
      <c r="F122" s="7"/>
      <c r="G122" s="7"/>
      <c r="H122" s="7"/>
      <c r="I122" s="7"/>
    </row>
    <row r="123">
      <c r="D123" s="7"/>
      <c r="E123" s="7"/>
      <c r="F123" s="7"/>
      <c r="G123" s="7"/>
      <c r="H123" s="7"/>
      <c r="I123" s="7"/>
    </row>
    <row r="124">
      <c r="D124" s="7"/>
      <c r="E124" s="7"/>
      <c r="F124" s="7"/>
      <c r="G124" s="7"/>
      <c r="H124" s="7"/>
      <c r="I124" s="7"/>
    </row>
    <row r="125">
      <c r="D125" s="7"/>
      <c r="E125" s="7"/>
      <c r="F125" s="7"/>
      <c r="G125" s="7"/>
      <c r="H125" s="7"/>
      <c r="I125" s="7"/>
    </row>
    <row r="126">
      <c r="D126" s="7"/>
      <c r="E126" s="7"/>
      <c r="F126" s="7"/>
      <c r="G126" s="7"/>
      <c r="H126" s="7"/>
      <c r="I126" s="7"/>
    </row>
    <row r="127">
      <c r="D127" s="7"/>
      <c r="E127" s="7"/>
      <c r="F127" s="7"/>
      <c r="G127" s="7"/>
      <c r="H127" s="7"/>
      <c r="I127" s="7"/>
    </row>
    <row r="128">
      <c r="D128" s="7"/>
      <c r="E128" s="7"/>
      <c r="F128" s="7"/>
      <c r="G128" s="7"/>
      <c r="H128" s="7"/>
      <c r="I128" s="7"/>
    </row>
    <row r="129">
      <c r="D129" s="7"/>
      <c r="E129" s="7"/>
      <c r="F129" s="7"/>
      <c r="G129" s="7"/>
      <c r="H129" s="7"/>
      <c r="I129" s="7"/>
    </row>
    <row r="130">
      <c r="D130" s="7"/>
      <c r="E130" s="7"/>
      <c r="F130" s="7"/>
      <c r="G130" s="7"/>
      <c r="H130" s="7"/>
      <c r="I130" s="7"/>
    </row>
    <row r="131">
      <c r="D131" s="7"/>
      <c r="E131" s="7"/>
      <c r="F131" s="7"/>
      <c r="G131" s="7"/>
      <c r="H131" s="7"/>
      <c r="I131" s="7"/>
    </row>
    <row r="132">
      <c r="D132" s="7"/>
      <c r="E132" s="7"/>
      <c r="F132" s="7"/>
      <c r="G132" s="7"/>
      <c r="H132" s="7"/>
      <c r="I132" s="7"/>
    </row>
    <row r="133">
      <c r="D133" s="7"/>
      <c r="E133" s="7"/>
      <c r="F133" s="7"/>
      <c r="G133" s="7"/>
      <c r="H133" s="7"/>
      <c r="I133" s="7"/>
    </row>
    <row r="134">
      <c r="D134" s="7"/>
      <c r="E134" s="7"/>
      <c r="F134" s="7"/>
      <c r="G134" s="7"/>
      <c r="H134" s="7"/>
      <c r="I134" s="7"/>
    </row>
    <row r="135">
      <c r="D135" s="7"/>
      <c r="E135" s="7"/>
      <c r="F135" s="7"/>
      <c r="G135" s="7"/>
      <c r="H135" s="7"/>
      <c r="I135" s="7"/>
    </row>
    <row r="136">
      <c r="D136" s="7"/>
      <c r="E136" s="7"/>
      <c r="F136" s="7"/>
      <c r="G136" s="7"/>
      <c r="H136" s="7"/>
      <c r="I136" s="7"/>
    </row>
    <row r="137">
      <c r="D137" s="7"/>
      <c r="E137" s="7"/>
      <c r="F137" s="7"/>
      <c r="G137" s="7"/>
      <c r="H137" s="7"/>
      <c r="I137" s="7"/>
    </row>
    <row r="138">
      <c r="D138" s="7"/>
      <c r="E138" s="7"/>
      <c r="F138" s="7"/>
      <c r="G138" s="7"/>
      <c r="H138" s="7"/>
      <c r="I138" s="7"/>
    </row>
    <row r="139">
      <c r="D139" s="7"/>
      <c r="E139" s="7"/>
      <c r="F139" s="7"/>
      <c r="G139" s="7"/>
      <c r="H139" s="7"/>
      <c r="I139" s="7"/>
    </row>
    <row r="140">
      <c r="D140" s="7"/>
      <c r="E140" s="7"/>
      <c r="F140" s="7"/>
      <c r="G140" s="7"/>
      <c r="H140" s="7"/>
      <c r="I140" s="7"/>
    </row>
    <row r="141">
      <c r="D141" s="7"/>
      <c r="E141" s="7"/>
      <c r="F141" s="7"/>
      <c r="G141" s="7"/>
      <c r="H141" s="7"/>
      <c r="I141" s="7"/>
    </row>
    <row r="142">
      <c r="D142" s="7"/>
      <c r="E142" s="7"/>
      <c r="F142" s="7"/>
      <c r="G142" s="7"/>
      <c r="H142" s="7"/>
      <c r="I142" s="7"/>
    </row>
    <row r="143">
      <c r="D143" s="7"/>
      <c r="E143" s="7"/>
      <c r="F143" s="7"/>
      <c r="G143" s="7"/>
      <c r="H143" s="7"/>
      <c r="I143" s="7"/>
    </row>
    <row r="144">
      <c r="D144" s="7"/>
      <c r="E144" s="7"/>
      <c r="F144" s="7"/>
      <c r="G144" s="7"/>
      <c r="H144" s="7"/>
      <c r="I144" s="7"/>
    </row>
    <row r="145">
      <c r="D145" s="7"/>
      <c r="E145" s="7"/>
      <c r="F145" s="7"/>
      <c r="G145" s="7"/>
      <c r="H145" s="7"/>
      <c r="I145" s="7"/>
    </row>
    <row r="146">
      <c r="D146" s="7"/>
      <c r="E146" s="7"/>
      <c r="F146" s="7"/>
      <c r="G146" s="7"/>
      <c r="H146" s="7"/>
      <c r="I146" s="7"/>
    </row>
    <row r="147">
      <c r="D147" s="7"/>
      <c r="E147" s="7"/>
      <c r="F147" s="7"/>
      <c r="G147" s="7"/>
      <c r="H147" s="7"/>
      <c r="I147" s="7"/>
    </row>
    <row r="148">
      <c r="D148" s="7"/>
      <c r="E148" s="7"/>
      <c r="F148" s="7"/>
      <c r="G148" s="7"/>
      <c r="H148" s="7"/>
      <c r="I148" s="7"/>
    </row>
    <row r="149">
      <c r="D149" s="7"/>
      <c r="E149" s="7"/>
      <c r="F149" s="7"/>
      <c r="G149" s="7"/>
      <c r="H149" s="7"/>
      <c r="I149" s="7"/>
    </row>
    <row r="150">
      <c r="D150" s="7"/>
      <c r="E150" s="7"/>
      <c r="F150" s="7"/>
      <c r="G150" s="7"/>
      <c r="H150" s="7"/>
      <c r="I150" s="7"/>
    </row>
    <row r="151">
      <c r="D151" s="7"/>
      <c r="E151" s="7"/>
      <c r="F151" s="7"/>
      <c r="G151" s="7"/>
      <c r="H151" s="7"/>
      <c r="I151" s="7"/>
    </row>
    <row r="152">
      <c r="D152" s="7"/>
      <c r="E152" s="7"/>
      <c r="F152" s="7"/>
      <c r="G152" s="7"/>
      <c r="H152" s="7"/>
      <c r="I152" s="7"/>
    </row>
    <row r="153">
      <c r="D153" s="7"/>
      <c r="E153" s="7"/>
      <c r="F153" s="7"/>
      <c r="G153" s="7"/>
      <c r="H153" s="7"/>
      <c r="I153" s="7"/>
    </row>
    <row r="154">
      <c r="D154" s="7"/>
      <c r="E154" s="7"/>
      <c r="F154" s="7"/>
      <c r="G154" s="7"/>
      <c r="H154" s="7"/>
      <c r="I154" s="7"/>
    </row>
    <row r="155">
      <c r="D155" s="7"/>
      <c r="E155" s="7"/>
      <c r="F155" s="7"/>
      <c r="G155" s="7"/>
      <c r="H155" s="7"/>
      <c r="I155" s="7"/>
    </row>
    <row r="156">
      <c r="D156" s="7"/>
      <c r="E156" s="7"/>
      <c r="F156" s="7"/>
      <c r="G156" s="7"/>
      <c r="H156" s="7"/>
      <c r="I156" s="7"/>
    </row>
    <row r="157">
      <c r="D157" s="7"/>
      <c r="E157" s="7"/>
      <c r="F157" s="7"/>
      <c r="G157" s="7"/>
      <c r="H157" s="7"/>
      <c r="I157" s="7"/>
    </row>
    <row r="158">
      <c r="D158" s="7"/>
      <c r="E158" s="7"/>
      <c r="F158" s="7"/>
      <c r="G158" s="7"/>
      <c r="H158" s="7"/>
      <c r="I158" s="7"/>
    </row>
    <row r="159">
      <c r="D159" s="7"/>
      <c r="E159" s="7"/>
      <c r="F159" s="7"/>
      <c r="G159" s="7"/>
      <c r="H159" s="7"/>
      <c r="I159" s="7"/>
    </row>
    <row r="160">
      <c r="D160" s="7"/>
      <c r="E160" s="7"/>
      <c r="F160" s="7"/>
      <c r="G160" s="7"/>
      <c r="H160" s="7"/>
      <c r="I160" s="7"/>
    </row>
    <row r="161">
      <c r="D161" s="7"/>
      <c r="E161" s="7"/>
      <c r="F161" s="7"/>
      <c r="G161" s="7"/>
      <c r="H161" s="7"/>
      <c r="I161" s="7"/>
    </row>
    <row r="162">
      <c r="D162" s="7"/>
      <c r="E162" s="7"/>
      <c r="F162" s="7"/>
      <c r="G162" s="7"/>
      <c r="H162" s="7"/>
      <c r="I162" s="7"/>
    </row>
    <row r="163">
      <c r="D163" s="7"/>
      <c r="E163" s="7"/>
      <c r="F163" s="7"/>
      <c r="G163" s="7"/>
      <c r="H163" s="7"/>
      <c r="I163" s="7"/>
    </row>
    <row r="164">
      <c r="D164" s="7"/>
      <c r="E164" s="7"/>
      <c r="F164" s="7"/>
      <c r="G164" s="7"/>
      <c r="H164" s="7"/>
      <c r="I164" s="7"/>
    </row>
    <row r="165">
      <c r="D165" s="7"/>
      <c r="E165" s="7"/>
      <c r="F165" s="7"/>
      <c r="G165" s="7"/>
      <c r="H165" s="7"/>
      <c r="I165" s="7"/>
    </row>
    <row r="166">
      <c r="D166" s="7"/>
      <c r="E166" s="7"/>
      <c r="F166" s="7"/>
      <c r="G166" s="7"/>
      <c r="H166" s="7"/>
      <c r="I166" s="7"/>
    </row>
    <row r="167">
      <c r="D167" s="7"/>
      <c r="E167" s="7"/>
      <c r="F167" s="7"/>
      <c r="G167" s="7"/>
      <c r="H167" s="7"/>
      <c r="I167" s="7"/>
    </row>
    <row r="168">
      <c r="D168" s="7"/>
      <c r="E168" s="7"/>
      <c r="F168" s="7"/>
      <c r="G168" s="7"/>
      <c r="H168" s="7"/>
      <c r="I168" s="7"/>
    </row>
    <row r="169">
      <c r="D169" s="7"/>
      <c r="E169" s="7"/>
      <c r="F169" s="7"/>
      <c r="G169" s="7"/>
      <c r="H169" s="7"/>
      <c r="I169" s="7"/>
    </row>
    <row r="170">
      <c r="D170" s="7"/>
      <c r="E170" s="7"/>
      <c r="F170" s="7"/>
      <c r="G170" s="7"/>
      <c r="H170" s="7"/>
      <c r="I170" s="7"/>
    </row>
    <row r="171">
      <c r="D171" s="7"/>
      <c r="E171" s="7"/>
      <c r="F171" s="7"/>
      <c r="G171" s="7"/>
      <c r="H171" s="7"/>
      <c r="I171" s="7"/>
    </row>
    <row r="172">
      <c r="D172" s="7"/>
      <c r="E172" s="7"/>
      <c r="F172" s="7"/>
      <c r="G172" s="7"/>
      <c r="H172" s="7"/>
      <c r="I172" s="7"/>
    </row>
    <row r="173">
      <c r="D173" s="7"/>
      <c r="E173" s="7"/>
      <c r="F173" s="7"/>
      <c r="G173" s="7"/>
      <c r="H173" s="7"/>
      <c r="I173" s="7"/>
    </row>
    <row r="174">
      <c r="D174" s="7"/>
      <c r="E174" s="7"/>
      <c r="F174" s="7"/>
      <c r="G174" s="7"/>
      <c r="H174" s="7"/>
      <c r="I174" s="7"/>
    </row>
    <row r="175">
      <c r="D175" s="7"/>
      <c r="E175" s="7"/>
      <c r="F175" s="7"/>
      <c r="G175" s="7"/>
      <c r="H175" s="7"/>
      <c r="I175" s="7"/>
    </row>
    <row r="176">
      <c r="D176" s="7"/>
      <c r="E176" s="7"/>
      <c r="F176" s="7"/>
      <c r="G176" s="7"/>
      <c r="H176" s="7"/>
      <c r="I176" s="7"/>
    </row>
    <row r="177">
      <c r="D177" s="7"/>
      <c r="E177" s="7"/>
      <c r="F177" s="7"/>
      <c r="G177" s="7"/>
      <c r="H177" s="7"/>
      <c r="I177" s="7"/>
    </row>
    <row r="178">
      <c r="D178" s="7"/>
      <c r="E178" s="7"/>
      <c r="F178" s="7"/>
      <c r="G178" s="7"/>
      <c r="H178" s="7"/>
      <c r="I178" s="7"/>
    </row>
    <row r="179">
      <c r="D179" s="7"/>
      <c r="E179" s="7"/>
      <c r="F179" s="7"/>
      <c r="G179" s="7"/>
      <c r="H179" s="7"/>
      <c r="I179" s="7"/>
    </row>
    <row r="180">
      <c r="D180" s="7"/>
      <c r="E180" s="7"/>
      <c r="F180" s="7"/>
      <c r="G180" s="7"/>
      <c r="H180" s="7"/>
      <c r="I180" s="7"/>
    </row>
    <row r="181">
      <c r="D181" s="7"/>
      <c r="E181" s="7"/>
      <c r="F181" s="7"/>
      <c r="G181" s="7"/>
      <c r="H181" s="7"/>
      <c r="I181" s="7"/>
    </row>
    <row r="182">
      <c r="D182" s="7"/>
      <c r="E182" s="7"/>
      <c r="F182" s="7"/>
      <c r="G182" s="7"/>
      <c r="H182" s="7"/>
      <c r="I182" s="7"/>
    </row>
    <row r="183">
      <c r="D183" s="7"/>
      <c r="E183" s="7"/>
      <c r="F183" s="7"/>
      <c r="G183" s="7"/>
      <c r="H183" s="7"/>
      <c r="I183" s="7"/>
    </row>
    <row r="184">
      <c r="D184" s="7"/>
      <c r="E184" s="7"/>
      <c r="F184" s="7"/>
      <c r="G184" s="7"/>
      <c r="H184" s="7"/>
      <c r="I184" s="7"/>
    </row>
    <row r="185">
      <c r="D185" s="7"/>
      <c r="E185" s="7"/>
      <c r="F185" s="7"/>
      <c r="G185" s="7"/>
      <c r="H185" s="7"/>
      <c r="I185" s="7"/>
    </row>
    <row r="186">
      <c r="D186" s="7"/>
      <c r="E186" s="7"/>
      <c r="F186" s="7"/>
      <c r="G186" s="7"/>
      <c r="H186" s="7"/>
      <c r="I186" s="7"/>
    </row>
    <row r="187">
      <c r="D187" s="7"/>
      <c r="E187" s="7"/>
      <c r="F187" s="7"/>
      <c r="G187" s="7"/>
      <c r="H187" s="7"/>
      <c r="I187" s="7"/>
    </row>
    <row r="188">
      <c r="D188" s="7"/>
      <c r="E188" s="7"/>
      <c r="F188" s="7"/>
      <c r="G188" s="7"/>
      <c r="H188" s="7"/>
      <c r="I188" s="7"/>
    </row>
    <row r="189">
      <c r="D189" s="7"/>
      <c r="E189" s="7"/>
      <c r="F189" s="7"/>
      <c r="G189" s="7"/>
      <c r="H189" s="7"/>
      <c r="I189" s="7"/>
    </row>
    <row r="190">
      <c r="D190" s="7"/>
      <c r="E190" s="7"/>
      <c r="F190" s="7"/>
      <c r="G190" s="7"/>
      <c r="H190" s="7"/>
      <c r="I190" s="7"/>
    </row>
    <row r="191">
      <c r="D191" s="7"/>
      <c r="E191" s="7"/>
      <c r="F191" s="7"/>
      <c r="G191" s="7"/>
      <c r="H191" s="7"/>
      <c r="I191" s="7"/>
    </row>
    <row r="192">
      <c r="D192" s="7"/>
      <c r="E192" s="7"/>
      <c r="F192" s="7"/>
      <c r="G192" s="7"/>
      <c r="H192" s="7"/>
      <c r="I192" s="7"/>
    </row>
    <row r="193">
      <c r="D193" s="7"/>
      <c r="E193" s="7"/>
      <c r="F193" s="7"/>
      <c r="G193" s="7"/>
      <c r="H193" s="7"/>
      <c r="I193" s="7"/>
    </row>
    <row r="194">
      <c r="D194" s="7"/>
      <c r="E194" s="7"/>
      <c r="F194" s="7"/>
      <c r="G194" s="7"/>
      <c r="H194" s="7"/>
      <c r="I194" s="7"/>
    </row>
    <row r="195">
      <c r="D195" s="7"/>
      <c r="E195" s="7"/>
      <c r="F195" s="7"/>
      <c r="G195" s="7"/>
      <c r="H195" s="7"/>
      <c r="I195" s="7"/>
    </row>
    <row r="196">
      <c r="D196" s="7"/>
      <c r="E196" s="7"/>
      <c r="F196" s="7"/>
      <c r="G196" s="7"/>
      <c r="H196" s="7"/>
      <c r="I196" s="7"/>
    </row>
    <row r="197">
      <c r="D197" s="7"/>
      <c r="E197" s="7"/>
      <c r="F197" s="7"/>
      <c r="G197" s="7"/>
      <c r="H197" s="7"/>
      <c r="I197" s="7"/>
    </row>
    <row r="198">
      <c r="D198" s="7"/>
      <c r="E198" s="7"/>
      <c r="F198" s="7"/>
      <c r="G198" s="7"/>
      <c r="H198" s="7"/>
      <c r="I198" s="7"/>
    </row>
    <row r="199">
      <c r="D199" s="7"/>
      <c r="E199" s="7"/>
      <c r="F199" s="7"/>
      <c r="G199" s="7"/>
      <c r="H199" s="7"/>
      <c r="I199" s="7"/>
    </row>
    <row r="200">
      <c r="D200" s="7"/>
      <c r="E200" s="7"/>
      <c r="F200" s="7"/>
      <c r="G200" s="7"/>
      <c r="H200" s="7"/>
      <c r="I200" s="7"/>
    </row>
    <row r="201">
      <c r="D201" s="7"/>
      <c r="E201" s="7"/>
      <c r="F201" s="7"/>
      <c r="G201" s="7"/>
      <c r="H201" s="7"/>
      <c r="I201" s="7"/>
    </row>
    <row r="202">
      <c r="D202" s="7"/>
      <c r="E202" s="7"/>
      <c r="F202" s="7"/>
      <c r="G202" s="7"/>
      <c r="H202" s="7"/>
      <c r="I202" s="7"/>
    </row>
    <row r="203">
      <c r="D203" s="7"/>
      <c r="E203" s="7"/>
      <c r="F203" s="7"/>
      <c r="G203" s="7"/>
      <c r="H203" s="7"/>
      <c r="I203" s="7"/>
    </row>
    <row r="204">
      <c r="D204" s="7"/>
      <c r="E204" s="7"/>
      <c r="F204" s="7"/>
      <c r="G204" s="7"/>
      <c r="H204" s="7"/>
      <c r="I204" s="7"/>
    </row>
    <row r="205">
      <c r="D205" s="7"/>
      <c r="E205" s="7"/>
      <c r="F205" s="7"/>
      <c r="G205" s="7"/>
      <c r="H205" s="7"/>
      <c r="I205" s="7"/>
    </row>
    <row r="206">
      <c r="D206" s="7"/>
      <c r="E206" s="7"/>
      <c r="F206" s="7"/>
      <c r="G206" s="7"/>
      <c r="H206" s="7"/>
      <c r="I206" s="7"/>
    </row>
    <row r="207">
      <c r="D207" s="7"/>
      <c r="E207" s="7"/>
      <c r="F207" s="7"/>
      <c r="G207" s="7"/>
      <c r="H207" s="7"/>
      <c r="I207" s="7"/>
    </row>
    <row r="208">
      <c r="D208" s="7"/>
      <c r="E208" s="7"/>
      <c r="F208" s="7"/>
      <c r="G208" s="7"/>
      <c r="H208" s="7"/>
      <c r="I208" s="7"/>
    </row>
    <row r="209">
      <c r="D209" s="7"/>
      <c r="E209" s="7"/>
      <c r="F209" s="7"/>
      <c r="G209" s="7"/>
      <c r="H209" s="7"/>
      <c r="I209" s="7"/>
    </row>
    <row r="210">
      <c r="D210" s="7"/>
      <c r="E210" s="7"/>
      <c r="F210" s="7"/>
      <c r="G210" s="7"/>
      <c r="H210" s="7"/>
      <c r="I210" s="7"/>
    </row>
    <row r="211">
      <c r="D211" s="7"/>
      <c r="E211" s="7"/>
      <c r="F211" s="7"/>
      <c r="G211" s="7"/>
      <c r="H211" s="7"/>
      <c r="I211" s="7"/>
    </row>
    <row r="212">
      <c r="D212" s="7"/>
      <c r="E212" s="7"/>
      <c r="F212" s="7"/>
      <c r="G212" s="7"/>
      <c r="H212" s="7"/>
      <c r="I212" s="7"/>
    </row>
    <row r="213">
      <c r="D213" s="7"/>
      <c r="E213" s="7"/>
      <c r="F213" s="7"/>
      <c r="G213" s="7"/>
      <c r="H213" s="7"/>
      <c r="I213" s="7"/>
    </row>
    <row r="214">
      <c r="D214" s="7"/>
      <c r="E214" s="7"/>
      <c r="F214" s="7"/>
      <c r="G214" s="7"/>
      <c r="H214" s="7"/>
      <c r="I214" s="7"/>
    </row>
    <row r="215">
      <c r="D215" s="7"/>
      <c r="E215" s="7"/>
      <c r="F215" s="7"/>
      <c r="G215" s="7"/>
      <c r="H215" s="7"/>
      <c r="I215" s="7"/>
    </row>
    <row r="216">
      <c r="D216" s="7"/>
      <c r="E216" s="7"/>
      <c r="F216" s="7"/>
      <c r="G216" s="7"/>
      <c r="H216" s="7"/>
      <c r="I216" s="7"/>
    </row>
    <row r="217">
      <c r="D217" s="7"/>
      <c r="E217" s="7"/>
      <c r="F217" s="7"/>
      <c r="G217" s="7"/>
      <c r="H217" s="7"/>
      <c r="I217" s="7"/>
    </row>
    <row r="218">
      <c r="D218" s="7"/>
      <c r="E218" s="7"/>
      <c r="F218" s="7"/>
      <c r="G218" s="7"/>
      <c r="H218" s="7"/>
      <c r="I218" s="7"/>
    </row>
    <row r="219">
      <c r="D219" s="7"/>
      <c r="E219" s="7"/>
      <c r="F219" s="7"/>
      <c r="G219" s="7"/>
      <c r="H219" s="7"/>
      <c r="I219" s="7"/>
    </row>
    <row r="220">
      <c r="D220" s="7"/>
      <c r="E220" s="7"/>
      <c r="F220" s="7"/>
      <c r="G220" s="7"/>
      <c r="H220" s="7"/>
      <c r="I220" s="7"/>
    </row>
    <row r="221">
      <c r="D221" s="7"/>
      <c r="E221" s="7"/>
      <c r="F221" s="7"/>
      <c r="G221" s="7"/>
      <c r="H221" s="7"/>
      <c r="I221" s="7"/>
    </row>
    <row r="222">
      <c r="D222" s="7"/>
      <c r="E222" s="7"/>
      <c r="F222" s="7"/>
      <c r="G222" s="7"/>
      <c r="H222" s="7"/>
      <c r="I222" s="7"/>
    </row>
    <row r="223">
      <c r="D223" s="7"/>
      <c r="E223" s="7"/>
      <c r="F223" s="7"/>
      <c r="G223" s="7"/>
      <c r="H223" s="7"/>
      <c r="I223" s="7"/>
    </row>
    <row r="224">
      <c r="D224" s="7"/>
      <c r="E224" s="7"/>
      <c r="F224" s="7"/>
      <c r="G224" s="7"/>
      <c r="H224" s="7"/>
      <c r="I224" s="7"/>
    </row>
    <row r="225">
      <c r="D225" s="7"/>
      <c r="E225" s="7"/>
      <c r="F225" s="7"/>
      <c r="G225" s="7"/>
      <c r="H225" s="7"/>
      <c r="I225" s="7"/>
    </row>
    <row r="226">
      <c r="D226" s="7"/>
      <c r="E226" s="7"/>
      <c r="F226" s="7"/>
      <c r="G226" s="7"/>
      <c r="H226" s="7"/>
      <c r="I226" s="7"/>
    </row>
    <row r="227">
      <c r="D227" s="7"/>
      <c r="E227" s="7"/>
      <c r="F227" s="7"/>
      <c r="G227" s="7"/>
      <c r="H227" s="7"/>
      <c r="I227" s="7"/>
    </row>
    <row r="228">
      <c r="D228" s="7"/>
      <c r="E228" s="7"/>
      <c r="F228" s="7"/>
      <c r="G228" s="7"/>
      <c r="H228" s="7"/>
      <c r="I228" s="7"/>
    </row>
    <row r="229">
      <c r="D229" s="7"/>
      <c r="E229" s="7"/>
      <c r="F229" s="7"/>
      <c r="G229" s="7"/>
      <c r="H229" s="7"/>
      <c r="I229" s="7"/>
    </row>
    <row r="230">
      <c r="D230" s="7"/>
      <c r="E230" s="7"/>
      <c r="F230" s="7"/>
      <c r="G230" s="7"/>
      <c r="H230" s="7"/>
      <c r="I230" s="7"/>
    </row>
    <row r="231">
      <c r="D231" s="7"/>
      <c r="E231" s="7"/>
      <c r="F231" s="7"/>
      <c r="G231" s="7"/>
      <c r="H231" s="7"/>
      <c r="I231" s="7"/>
    </row>
    <row r="232">
      <c r="D232" s="7"/>
      <c r="E232" s="7"/>
      <c r="F232" s="7"/>
      <c r="G232" s="7"/>
      <c r="H232" s="7"/>
      <c r="I232" s="7"/>
    </row>
    <row r="233">
      <c r="D233" s="7"/>
      <c r="E233" s="7"/>
      <c r="F233" s="7"/>
      <c r="G233" s="7"/>
      <c r="H233" s="7"/>
      <c r="I233" s="7"/>
    </row>
    <row r="234">
      <c r="D234" s="7"/>
      <c r="E234" s="7"/>
      <c r="F234" s="7"/>
      <c r="G234" s="7"/>
      <c r="H234" s="7"/>
      <c r="I234" s="7"/>
    </row>
    <row r="235">
      <c r="D235" s="7"/>
      <c r="E235" s="7"/>
      <c r="F235" s="7"/>
      <c r="G235" s="7"/>
      <c r="H235" s="7"/>
      <c r="I235" s="7"/>
    </row>
    <row r="236">
      <c r="D236" s="7"/>
      <c r="E236" s="7"/>
      <c r="F236" s="7"/>
      <c r="G236" s="7"/>
      <c r="H236" s="7"/>
      <c r="I236" s="7"/>
    </row>
    <row r="237">
      <c r="D237" s="7"/>
      <c r="E237" s="7"/>
      <c r="F237" s="7"/>
      <c r="G237" s="7"/>
      <c r="H237" s="7"/>
      <c r="I237" s="7"/>
    </row>
    <row r="238">
      <c r="D238" s="7"/>
      <c r="E238" s="7"/>
      <c r="F238" s="7"/>
      <c r="G238" s="7"/>
      <c r="H238" s="7"/>
      <c r="I238" s="7"/>
    </row>
    <row r="239">
      <c r="D239" s="7"/>
      <c r="E239" s="7"/>
      <c r="F239" s="7"/>
      <c r="G239" s="7"/>
      <c r="H239" s="7"/>
      <c r="I239" s="7"/>
    </row>
    <row r="240">
      <c r="D240" s="7"/>
      <c r="E240" s="7"/>
      <c r="F240" s="7"/>
      <c r="G240" s="7"/>
      <c r="H240" s="7"/>
      <c r="I240" s="7"/>
    </row>
    <row r="241">
      <c r="D241" s="7"/>
      <c r="E241" s="7"/>
      <c r="F241" s="7"/>
      <c r="G241" s="7"/>
      <c r="H241" s="7"/>
      <c r="I241" s="7"/>
    </row>
    <row r="242">
      <c r="D242" s="7"/>
      <c r="E242" s="7"/>
      <c r="F242" s="7"/>
      <c r="G242" s="7"/>
      <c r="H242" s="7"/>
      <c r="I242" s="7"/>
    </row>
    <row r="243">
      <c r="D243" s="7"/>
      <c r="E243" s="7"/>
      <c r="F243" s="7"/>
      <c r="G243" s="7"/>
      <c r="H243" s="7"/>
      <c r="I243" s="7"/>
    </row>
    <row r="244">
      <c r="D244" s="7"/>
      <c r="E244" s="7"/>
      <c r="F244" s="7"/>
      <c r="G244" s="7"/>
      <c r="H244" s="7"/>
      <c r="I244" s="7"/>
    </row>
    <row r="245">
      <c r="D245" s="7"/>
      <c r="E245" s="7"/>
      <c r="F245" s="7"/>
      <c r="G245" s="7"/>
      <c r="H245" s="7"/>
      <c r="I245" s="7"/>
    </row>
    <row r="246">
      <c r="D246" s="7"/>
      <c r="E246" s="7"/>
      <c r="F246" s="7"/>
      <c r="G246" s="7"/>
      <c r="H246" s="7"/>
      <c r="I246" s="7"/>
    </row>
    <row r="247">
      <c r="D247" s="7"/>
      <c r="E247" s="7"/>
      <c r="F247" s="7"/>
      <c r="G247" s="7"/>
      <c r="H247" s="7"/>
      <c r="I247" s="7"/>
    </row>
    <row r="248">
      <c r="D248" s="7"/>
      <c r="E248" s="7"/>
      <c r="F248" s="7"/>
      <c r="G248" s="7"/>
      <c r="H248" s="7"/>
      <c r="I248" s="7"/>
    </row>
    <row r="249">
      <c r="D249" s="7"/>
      <c r="E249" s="7"/>
      <c r="F249" s="7"/>
      <c r="G249" s="7"/>
      <c r="H249" s="7"/>
      <c r="I249" s="7"/>
    </row>
    <row r="250">
      <c r="D250" s="7"/>
      <c r="E250" s="7"/>
      <c r="F250" s="7"/>
      <c r="G250" s="7"/>
      <c r="H250" s="7"/>
      <c r="I250" s="7"/>
    </row>
    <row r="251">
      <c r="D251" s="7"/>
      <c r="E251" s="7"/>
      <c r="F251" s="7"/>
      <c r="G251" s="7"/>
      <c r="H251" s="7"/>
      <c r="I251" s="7"/>
    </row>
    <row r="252">
      <c r="D252" s="7"/>
      <c r="E252" s="7"/>
      <c r="F252" s="7"/>
      <c r="G252" s="7"/>
      <c r="H252" s="7"/>
      <c r="I252" s="7"/>
    </row>
    <row r="253">
      <c r="D253" s="7"/>
      <c r="E253" s="7"/>
      <c r="F253" s="7"/>
      <c r="G253" s="7"/>
      <c r="H253" s="7"/>
      <c r="I253" s="7"/>
    </row>
    <row r="254">
      <c r="D254" s="7"/>
      <c r="E254" s="7"/>
      <c r="F254" s="7"/>
      <c r="G254" s="7"/>
      <c r="H254" s="7"/>
      <c r="I254" s="7"/>
    </row>
    <row r="255">
      <c r="D255" s="7"/>
      <c r="E255" s="7"/>
      <c r="F255" s="7"/>
      <c r="G255" s="7"/>
      <c r="H255" s="7"/>
      <c r="I255" s="7"/>
    </row>
    <row r="256">
      <c r="D256" s="7"/>
      <c r="E256" s="7"/>
      <c r="F256" s="7"/>
      <c r="G256" s="7"/>
      <c r="H256" s="7"/>
      <c r="I256" s="7"/>
    </row>
    <row r="257">
      <c r="D257" s="7"/>
      <c r="E257" s="7"/>
      <c r="F257" s="7"/>
      <c r="G257" s="7"/>
      <c r="H257" s="7"/>
      <c r="I257" s="7"/>
    </row>
    <row r="258">
      <c r="D258" s="7"/>
      <c r="E258" s="7"/>
      <c r="F258" s="7"/>
      <c r="G258" s="7"/>
      <c r="H258" s="7"/>
      <c r="I258" s="7"/>
    </row>
    <row r="259">
      <c r="D259" s="7"/>
      <c r="E259" s="7"/>
      <c r="F259" s="7"/>
      <c r="G259" s="7"/>
      <c r="H259" s="7"/>
      <c r="I259" s="7"/>
    </row>
    <row r="260">
      <c r="D260" s="7"/>
      <c r="E260" s="7"/>
      <c r="F260" s="7"/>
      <c r="G260" s="7"/>
      <c r="H260" s="7"/>
      <c r="I260" s="7"/>
    </row>
    <row r="261">
      <c r="D261" s="7"/>
      <c r="E261" s="7"/>
      <c r="F261" s="7"/>
      <c r="G261" s="7"/>
      <c r="H261" s="7"/>
      <c r="I261" s="7"/>
    </row>
    <row r="262">
      <c r="D262" s="7"/>
      <c r="E262" s="7"/>
      <c r="F262" s="7"/>
      <c r="G262" s="7"/>
      <c r="H262" s="7"/>
      <c r="I262" s="7"/>
    </row>
    <row r="263">
      <c r="D263" s="7"/>
      <c r="E263" s="7"/>
      <c r="F263" s="7"/>
      <c r="G263" s="7"/>
      <c r="H263" s="7"/>
      <c r="I263" s="7"/>
    </row>
    <row r="264">
      <c r="D264" s="7"/>
      <c r="E264" s="7"/>
      <c r="F264" s="7"/>
      <c r="G264" s="7"/>
      <c r="H264" s="7"/>
      <c r="I264" s="7"/>
    </row>
    <row r="265">
      <c r="D265" s="7"/>
      <c r="E265" s="7"/>
      <c r="F265" s="7"/>
      <c r="G265" s="7"/>
      <c r="H265" s="7"/>
      <c r="I265" s="7"/>
    </row>
    <row r="266">
      <c r="D266" s="7"/>
      <c r="E266" s="7"/>
      <c r="F266" s="7"/>
      <c r="G266" s="7"/>
      <c r="H266" s="7"/>
      <c r="I266" s="7"/>
    </row>
    <row r="267">
      <c r="D267" s="7"/>
      <c r="E267" s="7"/>
      <c r="F267" s="7"/>
      <c r="G267" s="7"/>
      <c r="H267" s="7"/>
      <c r="I267" s="7"/>
    </row>
    <row r="268">
      <c r="D268" s="7"/>
      <c r="E268" s="7"/>
      <c r="F268" s="7"/>
      <c r="G268" s="7"/>
      <c r="H268" s="7"/>
      <c r="I268" s="7"/>
    </row>
    <row r="269">
      <c r="D269" s="7"/>
      <c r="E269" s="7"/>
      <c r="F269" s="7"/>
      <c r="G269" s="7"/>
      <c r="H269" s="7"/>
      <c r="I269" s="7"/>
    </row>
    <row r="270">
      <c r="D270" s="7"/>
      <c r="E270" s="7"/>
      <c r="F270" s="7"/>
      <c r="G270" s="7"/>
      <c r="H270" s="7"/>
      <c r="I270" s="7"/>
    </row>
    <row r="271">
      <c r="D271" s="7"/>
      <c r="E271" s="7"/>
      <c r="F271" s="7"/>
      <c r="G271" s="7"/>
      <c r="H271" s="7"/>
      <c r="I271" s="7"/>
    </row>
    <row r="272">
      <c r="D272" s="7"/>
      <c r="E272" s="7"/>
      <c r="F272" s="7"/>
      <c r="G272" s="7"/>
      <c r="H272" s="7"/>
      <c r="I272" s="7"/>
    </row>
    <row r="273">
      <c r="D273" s="7"/>
      <c r="E273" s="7"/>
      <c r="F273" s="7"/>
      <c r="G273" s="7"/>
      <c r="H273" s="7"/>
      <c r="I273" s="7"/>
    </row>
    <row r="274">
      <c r="D274" s="7"/>
      <c r="E274" s="7"/>
      <c r="F274" s="7"/>
      <c r="G274" s="7"/>
      <c r="H274" s="7"/>
      <c r="I274" s="7"/>
    </row>
    <row r="275">
      <c r="D275" s="7"/>
      <c r="E275" s="7"/>
      <c r="F275" s="7"/>
      <c r="G275" s="7"/>
      <c r="H275" s="7"/>
      <c r="I275" s="7"/>
    </row>
    <row r="276">
      <c r="D276" s="7"/>
      <c r="E276" s="7"/>
      <c r="F276" s="7"/>
      <c r="G276" s="7"/>
      <c r="H276" s="7"/>
      <c r="I276" s="7"/>
    </row>
    <row r="277">
      <c r="D277" s="7"/>
      <c r="E277" s="7"/>
      <c r="F277" s="7"/>
      <c r="G277" s="7"/>
      <c r="H277" s="7"/>
      <c r="I277" s="7"/>
    </row>
    <row r="278">
      <c r="D278" s="7"/>
      <c r="E278" s="7"/>
      <c r="F278" s="7"/>
      <c r="G278" s="7"/>
      <c r="H278" s="7"/>
      <c r="I278" s="7"/>
    </row>
    <row r="279">
      <c r="D279" s="7"/>
      <c r="E279" s="7"/>
      <c r="F279" s="7"/>
      <c r="G279" s="7"/>
      <c r="H279" s="7"/>
      <c r="I279" s="7"/>
    </row>
    <row r="280">
      <c r="D280" s="7"/>
      <c r="E280" s="7"/>
      <c r="F280" s="7"/>
      <c r="G280" s="7"/>
      <c r="H280" s="7"/>
      <c r="I280" s="7"/>
    </row>
    <row r="281">
      <c r="D281" s="7"/>
      <c r="E281" s="7"/>
      <c r="F281" s="7"/>
      <c r="G281" s="7"/>
      <c r="H281" s="7"/>
      <c r="I281" s="7"/>
    </row>
    <row r="282">
      <c r="D282" s="7"/>
      <c r="E282" s="7"/>
      <c r="F282" s="7"/>
      <c r="G282" s="7"/>
      <c r="H282" s="7"/>
      <c r="I282" s="7"/>
    </row>
    <row r="283">
      <c r="D283" s="7"/>
      <c r="E283" s="7"/>
      <c r="F283" s="7"/>
      <c r="G283" s="7"/>
      <c r="H283" s="7"/>
      <c r="I283" s="7"/>
    </row>
    <row r="284">
      <c r="D284" s="7"/>
      <c r="E284" s="7"/>
      <c r="F284" s="7"/>
      <c r="G284" s="7"/>
      <c r="H284" s="7"/>
      <c r="I284" s="7"/>
    </row>
    <row r="285">
      <c r="D285" s="7"/>
      <c r="E285" s="7"/>
      <c r="F285" s="7"/>
      <c r="G285" s="7"/>
      <c r="H285" s="7"/>
      <c r="I285" s="7"/>
    </row>
    <row r="286">
      <c r="D286" s="7"/>
      <c r="E286" s="7"/>
      <c r="F286" s="7"/>
      <c r="G286" s="7"/>
      <c r="H286" s="7"/>
      <c r="I286" s="7"/>
    </row>
    <row r="287">
      <c r="D287" s="7"/>
      <c r="E287" s="7"/>
      <c r="F287" s="7"/>
      <c r="G287" s="7"/>
      <c r="H287" s="7"/>
      <c r="I287" s="7"/>
    </row>
    <row r="288">
      <c r="D288" s="7"/>
      <c r="E288" s="7"/>
      <c r="F288" s="7"/>
      <c r="G288" s="7"/>
      <c r="H288" s="7"/>
      <c r="I288" s="7"/>
    </row>
    <row r="289">
      <c r="D289" s="7"/>
      <c r="E289" s="7"/>
      <c r="F289" s="7"/>
      <c r="G289" s="7"/>
      <c r="H289" s="7"/>
      <c r="I289" s="7"/>
    </row>
    <row r="290">
      <c r="D290" s="7"/>
      <c r="E290" s="7"/>
      <c r="F290" s="7"/>
      <c r="G290" s="7"/>
      <c r="H290" s="7"/>
      <c r="I290" s="7"/>
    </row>
    <row r="291">
      <c r="D291" s="7"/>
      <c r="E291" s="7"/>
      <c r="F291" s="7"/>
      <c r="G291" s="7"/>
      <c r="H291" s="7"/>
      <c r="I291" s="7"/>
    </row>
    <row r="292">
      <c r="D292" s="7"/>
      <c r="E292" s="7"/>
      <c r="F292" s="7"/>
      <c r="G292" s="7"/>
      <c r="H292" s="7"/>
      <c r="I292" s="7"/>
    </row>
    <row r="293">
      <c r="D293" s="7"/>
      <c r="E293" s="7"/>
      <c r="F293" s="7"/>
      <c r="G293" s="7"/>
      <c r="H293" s="7"/>
      <c r="I293" s="7"/>
    </row>
    <row r="294">
      <c r="D294" s="7"/>
      <c r="E294" s="7"/>
      <c r="F294" s="7"/>
      <c r="G294" s="7"/>
      <c r="H294" s="7"/>
      <c r="I294" s="7"/>
    </row>
    <row r="295">
      <c r="D295" s="7"/>
      <c r="E295" s="7"/>
      <c r="F295" s="7"/>
      <c r="G295" s="7"/>
      <c r="H295" s="7"/>
      <c r="I295" s="7"/>
    </row>
    <row r="296">
      <c r="D296" s="7"/>
      <c r="E296" s="7"/>
      <c r="F296" s="7"/>
      <c r="G296" s="7"/>
      <c r="H296" s="7"/>
      <c r="I296" s="7"/>
    </row>
    <row r="297">
      <c r="D297" s="7"/>
      <c r="E297" s="7"/>
      <c r="F297" s="7"/>
      <c r="G297" s="7"/>
      <c r="H297" s="7"/>
      <c r="I297" s="7"/>
    </row>
    <row r="298">
      <c r="D298" s="7"/>
      <c r="E298" s="7"/>
      <c r="F298" s="7"/>
      <c r="G298" s="7"/>
      <c r="H298" s="7"/>
      <c r="I298" s="7"/>
    </row>
    <row r="299">
      <c r="D299" s="7"/>
      <c r="E299" s="7"/>
      <c r="F299" s="7"/>
      <c r="G299" s="7"/>
      <c r="H299" s="7"/>
      <c r="I299" s="7"/>
    </row>
    <row r="300">
      <c r="D300" s="7"/>
      <c r="E300" s="7"/>
      <c r="F300" s="7"/>
      <c r="G300" s="7"/>
      <c r="H300" s="7"/>
      <c r="I300" s="7"/>
    </row>
    <row r="301">
      <c r="D301" s="7"/>
      <c r="E301" s="7"/>
      <c r="F301" s="7"/>
      <c r="G301" s="7"/>
      <c r="H301" s="7"/>
      <c r="I301" s="7"/>
    </row>
    <row r="302">
      <c r="D302" s="7"/>
      <c r="E302" s="7"/>
      <c r="F302" s="7"/>
      <c r="G302" s="7"/>
      <c r="H302" s="7"/>
      <c r="I302" s="7"/>
    </row>
    <row r="303">
      <c r="D303" s="7"/>
      <c r="E303" s="7"/>
      <c r="F303" s="7"/>
      <c r="G303" s="7"/>
      <c r="H303" s="7"/>
      <c r="I303" s="7"/>
    </row>
    <row r="304">
      <c r="D304" s="7"/>
      <c r="E304" s="7"/>
      <c r="F304" s="7"/>
      <c r="G304" s="7"/>
      <c r="H304" s="7"/>
      <c r="I304" s="7"/>
    </row>
    <row r="305">
      <c r="D305" s="7"/>
      <c r="E305" s="7"/>
      <c r="F305" s="7"/>
      <c r="G305" s="7"/>
      <c r="H305" s="7"/>
      <c r="I305" s="7"/>
    </row>
    <row r="306">
      <c r="D306" s="7"/>
      <c r="E306" s="7"/>
      <c r="F306" s="7"/>
      <c r="G306" s="7"/>
      <c r="H306" s="7"/>
      <c r="I306" s="7"/>
    </row>
    <row r="307">
      <c r="D307" s="7"/>
      <c r="E307" s="7"/>
      <c r="F307" s="7"/>
      <c r="G307" s="7"/>
      <c r="H307" s="7"/>
      <c r="I307" s="7"/>
    </row>
    <row r="308">
      <c r="D308" s="7"/>
      <c r="E308" s="7"/>
      <c r="F308" s="7"/>
      <c r="G308" s="7"/>
      <c r="H308" s="7"/>
      <c r="I308" s="7"/>
    </row>
    <row r="309">
      <c r="D309" s="7"/>
      <c r="E309" s="7"/>
      <c r="F309" s="7"/>
      <c r="G309" s="7"/>
      <c r="H309" s="7"/>
      <c r="I309" s="7"/>
    </row>
    <row r="310">
      <c r="D310" s="7"/>
      <c r="E310" s="7"/>
      <c r="F310" s="7"/>
      <c r="G310" s="7"/>
      <c r="H310" s="7"/>
      <c r="I310" s="7"/>
    </row>
    <row r="311">
      <c r="D311" s="7"/>
      <c r="E311" s="7"/>
      <c r="F311" s="7"/>
      <c r="G311" s="7"/>
      <c r="H311" s="7"/>
      <c r="I311" s="7"/>
    </row>
    <row r="312">
      <c r="D312" s="7"/>
      <c r="E312" s="7"/>
      <c r="F312" s="7"/>
      <c r="G312" s="7"/>
      <c r="H312" s="7"/>
      <c r="I312" s="7"/>
    </row>
    <row r="313">
      <c r="D313" s="7"/>
      <c r="E313" s="7"/>
      <c r="F313" s="7"/>
      <c r="G313" s="7"/>
      <c r="H313" s="7"/>
      <c r="I313" s="7"/>
    </row>
    <row r="314">
      <c r="D314" s="7"/>
      <c r="E314" s="7"/>
      <c r="F314" s="7"/>
      <c r="G314" s="7"/>
      <c r="H314" s="7"/>
      <c r="I314" s="7"/>
    </row>
    <row r="315">
      <c r="D315" s="7"/>
      <c r="E315" s="7"/>
      <c r="F315" s="7"/>
      <c r="G315" s="7"/>
      <c r="H315" s="7"/>
      <c r="I315" s="7"/>
    </row>
    <row r="316">
      <c r="D316" s="7"/>
      <c r="E316" s="7"/>
      <c r="F316" s="7"/>
      <c r="G316" s="7"/>
      <c r="H316" s="7"/>
      <c r="I316" s="7"/>
    </row>
    <row r="317">
      <c r="D317" s="7"/>
      <c r="E317" s="7"/>
      <c r="F317" s="7"/>
      <c r="G317" s="7"/>
      <c r="H317" s="7"/>
      <c r="I317" s="7"/>
    </row>
    <row r="318">
      <c r="D318" s="7"/>
      <c r="E318" s="7"/>
      <c r="F318" s="7"/>
      <c r="G318" s="7"/>
      <c r="H318" s="7"/>
      <c r="I318" s="7"/>
    </row>
    <row r="319">
      <c r="D319" s="7"/>
      <c r="E319" s="7"/>
      <c r="F319" s="7"/>
      <c r="G319" s="7"/>
      <c r="H319" s="7"/>
      <c r="I319" s="7"/>
    </row>
    <row r="320">
      <c r="D320" s="7"/>
      <c r="E320" s="7"/>
      <c r="F320" s="7"/>
      <c r="G320" s="7"/>
      <c r="H320" s="7"/>
      <c r="I320" s="7"/>
    </row>
    <row r="321">
      <c r="D321" s="7"/>
      <c r="E321" s="7"/>
      <c r="F321" s="7"/>
      <c r="G321" s="7"/>
      <c r="H321" s="7"/>
      <c r="I321" s="7"/>
    </row>
    <row r="322">
      <c r="D322" s="7"/>
      <c r="E322" s="7"/>
      <c r="F322" s="7"/>
      <c r="G322" s="7"/>
      <c r="H322" s="7"/>
      <c r="I322" s="7"/>
    </row>
    <row r="323">
      <c r="D323" s="7"/>
      <c r="E323" s="7"/>
      <c r="F323" s="7"/>
      <c r="G323" s="7"/>
      <c r="H323" s="7"/>
      <c r="I323" s="7"/>
    </row>
    <row r="324">
      <c r="D324" s="7"/>
      <c r="E324" s="7"/>
      <c r="F324" s="7"/>
      <c r="G324" s="7"/>
      <c r="H324" s="7"/>
      <c r="I324" s="7"/>
    </row>
    <row r="325">
      <c r="D325" s="7"/>
      <c r="E325" s="7"/>
      <c r="F325" s="7"/>
      <c r="G325" s="7"/>
      <c r="H325" s="7"/>
      <c r="I325" s="7"/>
    </row>
    <row r="326">
      <c r="D326" s="7"/>
      <c r="E326" s="7"/>
      <c r="F326" s="7"/>
      <c r="G326" s="7"/>
      <c r="H326" s="7"/>
      <c r="I326" s="7"/>
    </row>
    <row r="327">
      <c r="D327" s="7"/>
      <c r="E327" s="7"/>
      <c r="F327" s="7"/>
      <c r="G327" s="7"/>
      <c r="H327" s="7"/>
      <c r="I327" s="7"/>
    </row>
    <row r="328">
      <c r="D328" s="7"/>
      <c r="E328" s="7"/>
      <c r="F328" s="7"/>
      <c r="G328" s="7"/>
      <c r="H328" s="7"/>
      <c r="I328" s="7"/>
    </row>
    <row r="329">
      <c r="D329" s="7"/>
      <c r="E329" s="7"/>
      <c r="F329" s="7"/>
      <c r="G329" s="7"/>
      <c r="H329" s="7"/>
      <c r="I329" s="7"/>
    </row>
    <row r="330">
      <c r="D330" s="7"/>
      <c r="E330" s="7"/>
      <c r="F330" s="7"/>
      <c r="G330" s="7"/>
      <c r="H330" s="7"/>
      <c r="I330" s="7"/>
    </row>
    <row r="331">
      <c r="D331" s="7"/>
      <c r="E331" s="7"/>
      <c r="F331" s="7"/>
      <c r="G331" s="7"/>
      <c r="H331" s="7"/>
      <c r="I331" s="7"/>
    </row>
    <row r="332">
      <c r="D332" s="7"/>
      <c r="E332" s="7"/>
      <c r="F332" s="7"/>
      <c r="G332" s="7"/>
      <c r="H332" s="7"/>
      <c r="I332" s="7"/>
    </row>
    <row r="333">
      <c r="D333" s="7"/>
      <c r="E333" s="7"/>
      <c r="F333" s="7"/>
      <c r="G333" s="7"/>
      <c r="H333" s="7"/>
      <c r="I333" s="7"/>
    </row>
    <row r="334">
      <c r="D334" s="7"/>
      <c r="E334" s="7"/>
      <c r="F334" s="7"/>
      <c r="G334" s="7"/>
      <c r="H334" s="7"/>
      <c r="I334" s="7"/>
    </row>
    <row r="335">
      <c r="D335" s="7"/>
      <c r="E335" s="7"/>
      <c r="F335" s="7"/>
      <c r="G335" s="7"/>
      <c r="H335" s="7"/>
      <c r="I335" s="7"/>
    </row>
    <row r="336">
      <c r="D336" s="7"/>
      <c r="E336" s="7"/>
      <c r="F336" s="7"/>
      <c r="G336" s="7"/>
      <c r="H336" s="7"/>
      <c r="I336" s="7"/>
    </row>
    <row r="337">
      <c r="D337" s="7"/>
      <c r="E337" s="7"/>
      <c r="F337" s="7"/>
      <c r="G337" s="7"/>
      <c r="H337" s="7"/>
      <c r="I337" s="7"/>
    </row>
    <row r="338">
      <c r="D338" s="7"/>
      <c r="E338" s="7"/>
      <c r="F338" s="7"/>
      <c r="G338" s="7"/>
      <c r="H338" s="7"/>
      <c r="I338" s="7"/>
    </row>
    <row r="339">
      <c r="D339" s="7"/>
      <c r="E339" s="7"/>
      <c r="F339" s="7"/>
      <c r="G339" s="7"/>
      <c r="H339" s="7"/>
      <c r="I339" s="7"/>
    </row>
    <row r="340">
      <c r="D340" s="7"/>
      <c r="E340" s="7"/>
      <c r="F340" s="7"/>
      <c r="G340" s="7"/>
      <c r="H340" s="7"/>
      <c r="I340" s="7"/>
    </row>
    <row r="341">
      <c r="D341" s="7"/>
      <c r="E341" s="7"/>
      <c r="F341" s="7"/>
      <c r="G341" s="7"/>
      <c r="H341" s="7"/>
      <c r="I341" s="7"/>
    </row>
    <row r="342">
      <c r="D342" s="7"/>
      <c r="E342" s="7"/>
      <c r="F342" s="7"/>
      <c r="G342" s="7"/>
      <c r="H342" s="7"/>
      <c r="I342" s="7"/>
    </row>
    <row r="343">
      <c r="D343" s="7"/>
      <c r="E343" s="7"/>
      <c r="F343" s="7"/>
      <c r="G343" s="7"/>
      <c r="H343" s="7"/>
      <c r="I343" s="7"/>
    </row>
    <row r="344">
      <c r="D344" s="7"/>
      <c r="E344" s="7"/>
      <c r="F344" s="7"/>
      <c r="G344" s="7"/>
      <c r="H344" s="7"/>
      <c r="I344" s="7"/>
    </row>
    <row r="345">
      <c r="D345" s="7"/>
      <c r="E345" s="7"/>
      <c r="F345" s="7"/>
      <c r="G345" s="7"/>
      <c r="H345" s="7"/>
      <c r="I345" s="7"/>
    </row>
    <row r="346">
      <c r="D346" s="7"/>
      <c r="E346" s="7"/>
      <c r="F346" s="7"/>
      <c r="G346" s="7"/>
      <c r="H346" s="7"/>
      <c r="I346" s="7"/>
    </row>
    <row r="347">
      <c r="D347" s="7"/>
      <c r="E347" s="7"/>
      <c r="F347" s="7"/>
      <c r="G347" s="7"/>
      <c r="H347" s="7"/>
      <c r="I347" s="7"/>
    </row>
    <row r="348">
      <c r="D348" s="7"/>
      <c r="E348" s="7"/>
      <c r="F348" s="7"/>
      <c r="G348" s="7"/>
      <c r="H348" s="7"/>
      <c r="I348" s="7"/>
    </row>
    <row r="349">
      <c r="D349" s="7"/>
      <c r="E349" s="7"/>
      <c r="F349" s="7"/>
      <c r="G349" s="7"/>
      <c r="H349" s="7"/>
      <c r="I349" s="7"/>
    </row>
    <row r="350">
      <c r="D350" s="7"/>
      <c r="E350" s="7"/>
      <c r="F350" s="7"/>
      <c r="G350" s="7"/>
      <c r="H350" s="7"/>
      <c r="I350" s="7"/>
    </row>
    <row r="351">
      <c r="D351" s="7"/>
      <c r="E351" s="7"/>
      <c r="F351" s="7"/>
      <c r="G351" s="7"/>
      <c r="H351" s="7"/>
      <c r="I351" s="7"/>
    </row>
    <row r="352">
      <c r="D352" s="7"/>
      <c r="E352" s="7"/>
      <c r="F352" s="7"/>
      <c r="G352" s="7"/>
      <c r="H352" s="7"/>
      <c r="I352" s="7"/>
    </row>
    <row r="353">
      <c r="D353" s="7"/>
      <c r="E353" s="7"/>
      <c r="F353" s="7"/>
      <c r="G353" s="7"/>
      <c r="H353" s="7"/>
      <c r="I353" s="7"/>
    </row>
    <row r="354">
      <c r="D354" s="7"/>
      <c r="E354" s="7"/>
      <c r="F354" s="7"/>
      <c r="G354" s="7"/>
      <c r="H354" s="7"/>
      <c r="I354" s="7"/>
    </row>
    <row r="355">
      <c r="D355" s="7"/>
      <c r="E355" s="7"/>
      <c r="F355" s="7"/>
      <c r="G355" s="7"/>
      <c r="H355" s="7"/>
      <c r="I355" s="7"/>
    </row>
    <row r="356">
      <c r="D356" s="7"/>
      <c r="E356" s="7"/>
      <c r="F356" s="7"/>
      <c r="G356" s="7"/>
      <c r="H356" s="7"/>
      <c r="I356" s="7"/>
    </row>
    <row r="357">
      <c r="D357" s="7"/>
      <c r="E357" s="7"/>
      <c r="F357" s="7"/>
      <c r="G357" s="7"/>
      <c r="H357" s="7"/>
      <c r="I357" s="7"/>
    </row>
    <row r="358">
      <c r="D358" s="7"/>
      <c r="E358" s="7"/>
      <c r="F358" s="7"/>
      <c r="G358" s="7"/>
      <c r="H358" s="7"/>
      <c r="I358" s="7"/>
    </row>
    <row r="359">
      <c r="D359" s="7"/>
      <c r="E359" s="7"/>
      <c r="F359" s="7"/>
      <c r="G359" s="7"/>
      <c r="H359" s="7"/>
      <c r="I359" s="7"/>
    </row>
    <row r="360">
      <c r="D360" s="7"/>
      <c r="E360" s="7"/>
      <c r="F360" s="7"/>
      <c r="G360" s="7"/>
      <c r="H360" s="7"/>
      <c r="I360" s="7"/>
    </row>
    <row r="361">
      <c r="D361" s="7"/>
      <c r="E361" s="7"/>
      <c r="F361" s="7"/>
      <c r="G361" s="7"/>
      <c r="H361" s="7"/>
      <c r="I361" s="7"/>
    </row>
    <row r="362">
      <c r="D362" s="7"/>
      <c r="E362" s="7"/>
      <c r="F362" s="7"/>
      <c r="G362" s="7"/>
      <c r="H362" s="7"/>
      <c r="I362" s="7"/>
    </row>
    <row r="363">
      <c r="D363" s="7"/>
      <c r="E363" s="7"/>
      <c r="F363" s="7"/>
      <c r="G363" s="7"/>
      <c r="H363" s="7"/>
      <c r="I363" s="7"/>
    </row>
    <row r="364">
      <c r="D364" s="7"/>
      <c r="E364" s="7"/>
      <c r="F364" s="7"/>
      <c r="G364" s="7"/>
      <c r="H364" s="7"/>
      <c r="I364" s="7"/>
    </row>
    <row r="365">
      <c r="D365" s="7"/>
      <c r="E365" s="7"/>
      <c r="F365" s="7"/>
      <c r="G365" s="7"/>
      <c r="H365" s="7"/>
      <c r="I365" s="7"/>
    </row>
    <row r="366">
      <c r="D366" s="7"/>
      <c r="E366" s="7"/>
      <c r="F366" s="7"/>
      <c r="G366" s="7"/>
      <c r="H366" s="7"/>
      <c r="I366" s="7"/>
    </row>
    <row r="367">
      <c r="D367" s="7"/>
      <c r="E367" s="7"/>
      <c r="F367" s="7"/>
      <c r="G367" s="7"/>
      <c r="H367" s="7"/>
      <c r="I367" s="7"/>
    </row>
    <row r="368">
      <c r="D368" s="7"/>
      <c r="E368" s="7"/>
      <c r="F368" s="7"/>
      <c r="G368" s="7"/>
      <c r="H368" s="7"/>
      <c r="I368" s="7"/>
    </row>
    <row r="369">
      <c r="D369" s="7"/>
      <c r="E369" s="7"/>
      <c r="F369" s="7"/>
      <c r="G369" s="7"/>
      <c r="H369" s="7"/>
      <c r="I369" s="7"/>
    </row>
    <row r="370">
      <c r="D370" s="7"/>
      <c r="E370" s="7"/>
      <c r="F370" s="7"/>
      <c r="G370" s="7"/>
      <c r="H370" s="7"/>
      <c r="I370" s="7"/>
    </row>
    <row r="371">
      <c r="D371" s="7"/>
      <c r="E371" s="7"/>
      <c r="F371" s="7"/>
      <c r="G371" s="7"/>
      <c r="H371" s="7"/>
      <c r="I371" s="7"/>
    </row>
    <row r="372">
      <c r="D372" s="7"/>
      <c r="E372" s="7"/>
      <c r="F372" s="7"/>
      <c r="G372" s="7"/>
      <c r="H372" s="7"/>
      <c r="I372" s="7"/>
    </row>
    <row r="373">
      <c r="D373" s="7"/>
      <c r="E373" s="7"/>
      <c r="F373" s="7"/>
      <c r="G373" s="7"/>
      <c r="H373" s="7"/>
      <c r="I373" s="7"/>
    </row>
    <row r="374">
      <c r="D374" s="7"/>
      <c r="E374" s="7"/>
      <c r="F374" s="7"/>
      <c r="G374" s="7"/>
      <c r="H374" s="7"/>
      <c r="I374" s="7"/>
    </row>
    <row r="375">
      <c r="D375" s="7"/>
      <c r="E375" s="7"/>
      <c r="F375" s="7"/>
      <c r="G375" s="7"/>
      <c r="H375" s="7"/>
      <c r="I375" s="7"/>
    </row>
    <row r="376">
      <c r="D376" s="7"/>
      <c r="E376" s="7"/>
      <c r="F376" s="7"/>
      <c r="G376" s="7"/>
      <c r="H376" s="7"/>
      <c r="I376" s="7"/>
    </row>
    <row r="377">
      <c r="D377" s="7"/>
      <c r="E377" s="7"/>
      <c r="F377" s="7"/>
      <c r="G377" s="7"/>
      <c r="H377" s="7"/>
      <c r="I377" s="7"/>
    </row>
    <row r="378">
      <c r="D378" s="7"/>
      <c r="E378" s="7"/>
      <c r="F378" s="7"/>
      <c r="G378" s="7"/>
      <c r="H378" s="7"/>
      <c r="I378" s="7"/>
    </row>
    <row r="379">
      <c r="D379" s="7"/>
      <c r="E379" s="7"/>
      <c r="F379" s="7"/>
      <c r="G379" s="7"/>
      <c r="H379" s="7"/>
      <c r="I379" s="7"/>
    </row>
    <row r="380">
      <c r="D380" s="7"/>
      <c r="E380" s="7"/>
      <c r="F380" s="7"/>
      <c r="G380" s="7"/>
      <c r="H380" s="7"/>
      <c r="I380" s="7"/>
    </row>
    <row r="381">
      <c r="D381" s="7"/>
      <c r="E381" s="7"/>
      <c r="F381" s="7"/>
      <c r="G381" s="7"/>
      <c r="H381" s="7"/>
      <c r="I381" s="7"/>
    </row>
    <row r="382">
      <c r="D382" s="7"/>
      <c r="E382" s="7"/>
      <c r="F382" s="7"/>
      <c r="G382" s="7"/>
      <c r="H382" s="7"/>
      <c r="I382" s="7"/>
    </row>
    <row r="383">
      <c r="D383" s="7"/>
      <c r="E383" s="7"/>
      <c r="F383" s="7"/>
      <c r="G383" s="7"/>
      <c r="H383" s="7"/>
      <c r="I383" s="7"/>
    </row>
    <row r="384">
      <c r="D384" s="7"/>
      <c r="E384" s="7"/>
      <c r="F384" s="7"/>
      <c r="G384" s="7"/>
      <c r="H384" s="7"/>
      <c r="I384" s="7"/>
    </row>
    <row r="385">
      <c r="D385" s="7"/>
      <c r="E385" s="7"/>
      <c r="F385" s="7"/>
      <c r="G385" s="7"/>
      <c r="H385" s="7"/>
      <c r="I385" s="7"/>
    </row>
    <row r="386">
      <c r="D386" s="7"/>
      <c r="E386" s="7"/>
      <c r="F386" s="7"/>
      <c r="G386" s="7"/>
      <c r="H386" s="7"/>
      <c r="I386" s="7"/>
    </row>
    <row r="387">
      <c r="D387" s="7"/>
      <c r="E387" s="7"/>
      <c r="F387" s="7"/>
      <c r="G387" s="7"/>
      <c r="H387" s="7"/>
      <c r="I387" s="7"/>
    </row>
    <row r="388">
      <c r="D388" s="7"/>
      <c r="E388" s="7"/>
      <c r="F388" s="7"/>
      <c r="G388" s="7"/>
      <c r="H388" s="7"/>
      <c r="I388" s="7"/>
    </row>
    <row r="389">
      <c r="D389" s="7"/>
      <c r="E389" s="7"/>
      <c r="F389" s="7"/>
      <c r="G389" s="7"/>
      <c r="H389" s="7"/>
      <c r="I389" s="7"/>
    </row>
    <row r="390">
      <c r="D390" s="7"/>
      <c r="E390" s="7"/>
      <c r="F390" s="7"/>
      <c r="G390" s="7"/>
      <c r="H390" s="7"/>
      <c r="I390" s="7"/>
    </row>
    <row r="391">
      <c r="D391" s="7"/>
      <c r="E391" s="7"/>
      <c r="F391" s="7"/>
      <c r="G391" s="7"/>
      <c r="H391" s="7"/>
      <c r="I391" s="7"/>
    </row>
    <row r="392">
      <c r="D392" s="7"/>
      <c r="E392" s="7"/>
      <c r="F392" s="7"/>
      <c r="G392" s="7"/>
      <c r="H392" s="7"/>
      <c r="I392" s="7"/>
    </row>
    <row r="393">
      <c r="D393" s="7"/>
      <c r="E393" s="7"/>
      <c r="F393" s="7"/>
      <c r="G393" s="7"/>
      <c r="H393" s="7"/>
      <c r="I393" s="7"/>
    </row>
    <row r="394">
      <c r="D394" s="7"/>
      <c r="E394" s="7"/>
      <c r="F394" s="7"/>
      <c r="G394" s="7"/>
      <c r="H394" s="7"/>
      <c r="I394" s="7"/>
    </row>
    <row r="395">
      <c r="D395" s="7"/>
      <c r="E395" s="7"/>
      <c r="F395" s="7"/>
      <c r="G395" s="7"/>
      <c r="H395" s="7"/>
      <c r="I395" s="7"/>
    </row>
    <row r="396">
      <c r="D396" s="7"/>
      <c r="E396" s="7"/>
      <c r="F396" s="7"/>
      <c r="G396" s="7"/>
      <c r="H396" s="7"/>
      <c r="I396" s="7"/>
    </row>
    <row r="397">
      <c r="D397" s="7"/>
      <c r="E397" s="7"/>
      <c r="F397" s="7"/>
      <c r="G397" s="7"/>
      <c r="H397" s="7"/>
      <c r="I397" s="7"/>
    </row>
    <row r="398">
      <c r="D398" s="7"/>
      <c r="E398" s="7"/>
      <c r="F398" s="7"/>
      <c r="G398" s="7"/>
      <c r="H398" s="7"/>
      <c r="I398" s="7"/>
    </row>
    <row r="399">
      <c r="D399" s="7"/>
      <c r="E399" s="7"/>
      <c r="F399" s="7"/>
      <c r="G399" s="7"/>
      <c r="H399" s="7"/>
      <c r="I399" s="7"/>
    </row>
    <row r="400">
      <c r="D400" s="7"/>
      <c r="E400" s="7"/>
      <c r="F400" s="7"/>
      <c r="G400" s="7"/>
      <c r="H400" s="7"/>
      <c r="I400" s="7"/>
    </row>
    <row r="401">
      <c r="D401" s="7"/>
      <c r="E401" s="7"/>
      <c r="F401" s="7"/>
      <c r="G401" s="7"/>
      <c r="H401" s="7"/>
      <c r="I401" s="7"/>
    </row>
    <row r="402">
      <c r="D402" s="7"/>
      <c r="E402" s="7"/>
      <c r="F402" s="7"/>
      <c r="G402" s="7"/>
      <c r="H402" s="7"/>
      <c r="I402" s="7"/>
    </row>
    <row r="403">
      <c r="D403" s="7"/>
      <c r="E403" s="7"/>
      <c r="F403" s="7"/>
      <c r="G403" s="7"/>
      <c r="H403" s="7"/>
      <c r="I403" s="7"/>
    </row>
    <row r="404">
      <c r="D404" s="7"/>
      <c r="E404" s="7"/>
      <c r="F404" s="7"/>
      <c r="G404" s="7"/>
      <c r="H404" s="7"/>
      <c r="I404" s="7"/>
    </row>
    <row r="405">
      <c r="D405" s="7"/>
      <c r="E405" s="7"/>
      <c r="F405" s="7"/>
      <c r="G405" s="7"/>
      <c r="H405" s="7"/>
      <c r="I405" s="7"/>
    </row>
    <row r="406">
      <c r="D406" s="7"/>
      <c r="E406" s="7"/>
      <c r="F406" s="7"/>
      <c r="G406" s="7"/>
      <c r="H406" s="7"/>
      <c r="I406" s="7"/>
    </row>
    <row r="407">
      <c r="D407" s="7"/>
      <c r="E407" s="7"/>
      <c r="F407" s="7"/>
      <c r="G407" s="7"/>
      <c r="H407" s="7"/>
      <c r="I407" s="7"/>
    </row>
    <row r="408">
      <c r="D408" s="7"/>
      <c r="E408" s="7"/>
      <c r="F408" s="7"/>
      <c r="G408" s="7"/>
      <c r="H408" s="7"/>
      <c r="I408" s="7"/>
    </row>
    <row r="409">
      <c r="D409" s="7"/>
      <c r="E409" s="7"/>
      <c r="F409" s="7"/>
      <c r="G409" s="7"/>
      <c r="H409" s="7"/>
      <c r="I409" s="7"/>
    </row>
    <row r="410">
      <c r="D410" s="7"/>
      <c r="E410" s="7"/>
      <c r="F410" s="7"/>
      <c r="G410" s="7"/>
      <c r="H410" s="7"/>
      <c r="I410" s="7"/>
    </row>
    <row r="411">
      <c r="D411" s="7"/>
      <c r="E411" s="7"/>
      <c r="F411" s="7"/>
      <c r="G411" s="7"/>
      <c r="H411" s="7"/>
      <c r="I411" s="7"/>
    </row>
    <row r="412">
      <c r="D412" s="7"/>
      <c r="E412" s="7"/>
      <c r="F412" s="7"/>
      <c r="G412" s="7"/>
      <c r="H412" s="7"/>
      <c r="I412" s="7"/>
    </row>
    <row r="413">
      <c r="D413" s="7"/>
      <c r="E413" s="7"/>
      <c r="F413" s="7"/>
      <c r="G413" s="7"/>
      <c r="H413" s="7"/>
      <c r="I413" s="7"/>
    </row>
    <row r="414">
      <c r="D414" s="7"/>
      <c r="E414" s="7"/>
      <c r="F414" s="7"/>
      <c r="G414" s="7"/>
      <c r="H414" s="7"/>
      <c r="I414" s="7"/>
    </row>
    <row r="415">
      <c r="D415" s="7"/>
      <c r="E415" s="7"/>
      <c r="F415" s="7"/>
      <c r="G415" s="7"/>
      <c r="H415" s="7"/>
      <c r="I415" s="7"/>
    </row>
    <row r="416">
      <c r="D416" s="7"/>
      <c r="E416" s="7"/>
      <c r="F416" s="7"/>
      <c r="G416" s="7"/>
      <c r="H416" s="7"/>
      <c r="I416" s="7"/>
    </row>
    <row r="417">
      <c r="D417" s="7"/>
      <c r="E417" s="7"/>
      <c r="F417" s="7"/>
      <c r="G417" s="7"/>
      <c r="H417" s="7"/>
      <c r="I417" s="7"/>
    </row>
    <row r="418">
      <c r="D418" s="7"/>
      <c r="E418" s="7"/>
      <c r="F418" s="7"/>
      <c r="G418" s="7"/>
      <c r="H418" s="7"/>
      <c r="I418" s="7"/>
    </row>
    <row r="419">
      <c r="D419" s="7"/>
      <c r="E419" s="7"/>
      <c r="F419" s="7"/>
      <c r="G419" s="7"/>
      <c r="H419" s="7"/>
      <c r="I419" s="7"/>
    </row>
    <row r="420">
      <c r="D420" s="7"/>
      <c r="E420" s="7"/>
      <c r="F420" s="7"/>
      <c r="G420" s="7"/>
      <c r="H420" s="7"/>
      <c r="I420" s="7"/>
    </row>
    <row r="421">
      <c r="D421" s="7"/>
      <c r="E421" s="7"/>
      <c r="F421" s="7"/>
      <c r="G421" s="7"/>
      <c r="H421" s="7"/>
      <c r="I421" s="7"/>
    </row>
    <row r="422">
      <c r="D422" s="7"/>
      <c r="E422" s="7"/>
      <c r="F422" s="7"/>
      <c r="G422" s="7"/>
      <c r="H422" s="7"/>
      <c r="I422" s="7"/>
    </row>
    <row r="423">
      <c r="D423" s="7"/>
      <c r="E423" s="7"/>
      <c r="F423" s="7"/>
      <c r="G423" s="7"/>
      <c r="H423" s="7"/>
      <c r="I423" s="7"/>
    </row>
    <row r="424">
      <c r="D424" s="7"/>
      <c r="E424" s="7"/>
      <c r="F424" s="7"/>
      <c r="G424" s="7"/>
      <c r="H424" s="7"/>
      <c r="I424" s="7"/>
    </row>
    <row r="425">
      <c r="D425" s="7"/>
      <c r="E425" s="7"/>
      <c r="F425" s="7"/>
      <c r="G425" s="7"/>
      <c r="H425" s="7"/>
      <c r="I425" s="7"/>
    </row>
    <row r="426">
      <c r="D426" s="7"/>
      <c r="E426" s="7"/>
      <c r="F426" s="7"/>
      <c r="G426" s="7"/>
      <c r="H426" s="7"/>
      <c r="I426" s="7"/>
    </row>
    <row r="427">
      <c r="D427" s="7"/>
      <c r="E427" s="7"/>
      <c r="F427" s="7"/>
      <c r="G427" s="7"/>
      <c r="H427" s="7"/>
      <c r="I427" s="7"/>
    </row>
    <row r="428">
      <c r="D428" s="7"/>
      <c r="E428" s="7"/>
      <c r="F428" s="7"/>
      <c r="G428" s="7"/>
      <c r="H428" s="7"/>
      <c r="I428" s="7"/>
    </row>
    <row r="429">
      <c r="D429" s="7"/>
      <c r="E429" s="7"/>
      <c r="F429" s="7"/>
      <c r="G429" s="7"/>
      <c r="H429" s="7"/>
      <c r="I429" s="7"/>
    </row>
    <row r="430">
      <c r="D430" s="7"/>
      <c r="E430" s="7"/>
      <c r="F430" s="7"/>
      <c r="G430" s="7"/>
      <c r="H430" s="7"/>
      <c r="I430" s="7"/>
    </row>
    <row r="431">
      <c r="D431" s="7"/>
      <c r="E431" s="7"/>
      <c r="F431" s="7"/>
      <c r="G431" s="7"/>
      <c r="H431" s="7"/>
      <c r="I431" s="7"/>
    </row>
    <row r="432">
      <c r="D432" s="7"/>
      <c r="E432" s="7"/>
      <c r="F432" s="7"/>
      <c r="G432" s="7"/>
      <c r="H432" s="7"/>
      <c r="I432" s="7"/>
    </row>
    <row r="433">
      <c r="D433" s="7"/>
      <c r="E433" s="7"/>
      <c r="F433" s="7"/>
      <c r="G433" s="7"/>
      <c r="H433" s="7"/>
      <c r="I433" s="7"/>
    </row>
    <row r="434">
      <c r="D434" s="7"/>
      <c r="E434" s="7"/>
      <c r="F434" s="7"/>
      <c r="G434" s="7"/>
      <c r="H434" s="7"/>
      <c r="I434" s="7"/>
    </row>
    <row r="435">
      <c r="D435" s="7"/>
      <c r="E435" s="7"/>
      <c r="F435" s="7"/>
      <c r="G435" s="7"/>
      <c r="H435" s="7"/>
      <c r="I435" s="7"/>
    </row>
    <row r="436">
      <c r="D436" s="7"/>
      <c r="E436" s="7"/>
      <c r="F436" s="7"/>
      <c r="G436" s="7"/>
      <c r="H436" s="7"/>
      <c r="I436" s="7"/>
    </row>
    <row r="437">
      <c r="D437" s="7"/>
      <c r="E437" s="7"/>
      <c r="F437" s="7"/>
      <c r="G437" s="7"/>
      <c r="H437" s="7"/>
      <c r="I437" s="7"/>
    </row>
    <row r="438">
      <c r="D438" s="7"/>
      <c r="E438" s="7"/>
      <c r="F438" s="7"/>
      <c r="G438" s="7"/>
      <c r="H438" s="7"/>
      <c r="I438" s="7"/>
    </row>
    <row r="439">
      <c r="D439" s="7"/>
      <c r="E439" s="7"/>
      <c r="F439" s="7"/>
      <c r="G439" s="7"/>
      <c r="H439" s="7"/>
      <c r="I439" s="7"/>
    </row>
    <row r="440">
      <c r="D440" s="7"/>
      <c r="E440" s="7"/>
      <c r="F440" s="7"/>
      <c r="G440" s="7"/>
      <c r="H440" s="7"/>
      <c r="I440" s="7"/>
    </row>
    <row r="441">
      <c r="D441" s="7"/>
      <c r="E441" s="7"/>
      <c r="F441" s="7"/>
      <c r="G441" s="7"/>
      <c r="H441" s="7"/>
      <c r="I441" s="7"/>
    </row>
    <row r="442">
      <c r="D442" s="7"/>
      <c r="E442" s="7"/>
      <c r="F442" s="7"/>
      <c r="G442" s="7"/>
      <c r="H442" s="7"/>
      <c r="I442" s="7"/>
    </row>
    <row r="443">
      <c r="D443" s="7"/>
      <c r="E443" s="7"/>
      <c r="F443" s="7"/>
      <c r="G443" s="7"/>
      <c r="H443" s="7"/>
      <c r="I443" s="7"/>
    </row>
    <row r="444">
      <c r="D444" s="7"/>
      <c r="E444" s="7"/>
      <c r="F444" s="7"/>
      <c r="G444" s="7"/>
      <c r="H444" s="7"/>
      <c r="I444" s="7"/>
    </row>
    <row r="445">
      <c r="D445" s="7"/>
      <c r="E445" s="7"/>
      <c r="F445" s="7"/>
      <c r="G445" s="7"/>
      <c r="H445" s="7"/>
      <c r="I445" s="7"/>
    </row>
    <row r="446">
      <c r="D446" s="7"/>
      <c r="E446" s="7"/>
      <c r="F446" s="7"/>
      <c r="G446" s="7"/>
      <c r="H446" s="7"/>
      <c r="I446" s="7"/>
    </row>
    <row r="447">
      <c r="D447" s="7"/>
      <c r="E447" s="7"/>
      <c r="F447" s="7"/>
      <c r="G447" s="7"/>
      <c r="H447" s="7"/>
      <c r="I447" s="7"/>
    </row>
    <row r="448">
      <c r="D448" s="7"/>
      <c r="E448" s="7"/>
      <c r="F448" s="7"/>
      <c r="G448" s="7"/>
      <c r="H448" s="7"/>
      <c r="I448" s="7"/>
    </row>
    <row r="449">
      <c r="D449" s="7"/>
      <c r="E449" s="7"/>
      <c r="F449" s="7"/>
      <c r="G449" s="7"/>
      <c r="H449" s="7"/>
      <c r="I449" s="7"/>
    </row>
    <row r="450">
      <c r="D450" s="7"/>
      <c r="E450" s="7"/>
      <c r="F450" s="7"/>
      <c r="G450" s="7"/>
      <c r="H450" s="7"/>
      <c r="I450" s="7"/>
    </row>
    <row r="451">
      <c r="D451" s="7"/>
      <c r="E451" s="7"/>
      <c r="F451" s="7"/>
      <c r="G451" s="7"/>
      <c r="H451" s="7"/>
      <c r="I451" s="7"/>
    </row>
    <row r="452">
      <c r="D452" s="7"/>
      <c r="E452" s="7"/>
      <c r="F452" s="7"/>
      <c r="G452" s="7"/>
      <c r="H452" s="7"/>
      <c r="I452" s="7"/>
    </row>
    <row r="453">
      <c r="D453" s="7"/>
      <c r="E453" s="7"/>
      <c r="F453" s="7"/>
      <c r="G453" s="7"/>
      <c r="H453" s="7"/>
      <c r="I453" s="7"/>
    </row>
    <row r="454">
      <c r="D454" s="7"/>
      <c r="E454" s="7"/>
      <c r="F454" s="7"/>
      <c r="G454" s="7"/>
      <c r="H454" s="7"/>
      <c r="I454" s="7"/>
    </row>
    <row r="455">
      <c r="D455" s="7"/>
      <c r="E455" s="7"/>
      <c r="F455" s="7"/>
      <c r="G455" s="7"/>
      <c r="H455" s="7"/>
      <c r="I455" s="7"/>
    </row>
    <row r="456">
      <c r="D456" s="7"/>
      <c r="E456" s="7"/>
      <c r="F456" s="7"/>
      <c r="G456" s="7"/>
      <c r="H456" s="7"/>
      <c r="I456" s="7"/>
    </row>
    <row r="457">
      <c r="D457" s="7"/>
      <c r="E457" s="7"/>
      <c r="F457" s="7"/>
      <c r="G457" s="7"/>
      <c r="H457" s="7"/>
      <c r="I457" s="7"/>
    </row>
    <row r="458">
      <c r="D458" s="7"/>
      <c r="E458" s="7"/>
      <c r="F458" s="7"/>
      <c r="G458" s="7"/>
      <c r="H458" s="7"/>
      <c r="I458" s="7"/>
    </row>
    <row r="459">
      <c r="D459" s="7"/>
      <c r="E459" s="7"/>
      <c r="F459" s="7"/>
      <c r="G459" s="7"/>
      <c r="H459" s="7"/>
      <c r="I459" s="7"/>
    </row>
    <row r="460">
      <c r="D460" s="7"/>
      <c r="E460" s="7"/>
      <c r="F460" s="7"/>
      <c r="G460" s="7"/>
      <c r="H460" s="7"/>
      <c r="I460" s="7"/>
    </row>
    <row r="461">
      <c r="D461" s="7"/>
      <c r="E461" s="7"/>
      <c r="F461" s="7"/>
      <c r="G461" s="7"/>
      <c r="H461" s="7"/>
      <c r="I461" s="7"/>
    </row>
    <row r="462">
      <c r="D462" s="7"/>
      <c r="E462" s="7"/>
      <c r="F462" s="7"/>
      <c r="G462" s="7"/>
      <c r="H462" s="7"/>
      <c r="I462" s="7"/>
    </row>
    <row r="463">
      <c r="D463" s="7"/>
      <c r="E463" s="7"/>
      <c r="F463" s="7"/>
      <c r="G463" s="7"/>
      <c r="H463" s="7"/>
      <c r="I463" s="7"/>
    </row>
    <row r="464">
      <c r="D464" s="7"/>
      <c r="E464" s="7"/>
      <c r="F464" s="7"/>
      <c r="G464" s="7"/>
      <c r="H464" s="7"/>
      <c r="I464" s="7"/>
    </row>
    <row r="465">
      <c r="D465" s="7"/>
      <c r="E465" s="7"/>
      <c r="F465" s="7"/>
      <c r="G465" s="7"/>
      <c r="H465" s="7"/>
      <c r="I465" s="7"/>
    </row>
    <row r="466">
      <c r="D466" s="7"/>
      <c r="E466" s="7"/>
      <c r="F466" s="7"/>
      <c r="G466" s="7"/>
      <c r="H466" s="7"/>
      <c r="I466" s="7"/>
    </row>
    <row r="467">
      <c r="D467" s="7"/>
      <c r="E467" s="7"/>
      <c r="F467" s="7"/>
      <c r="G467" s="7"/>
      <c r="H467" s="7"/>
      <c r="I467" s="7"/>
    </row>
    <row r="468">
      <c r="D468" s="7"/>
      <c r="E468" s="7"/>
      <c r="F468" s="7"/>
      <c r="G468" s="7"/>
      <c r="H468" s="7"/>
      <c r="I468" s="7"/>
    </row>
    <row r="469">
      <c r="D469" s="7"/>
      <c r="E469" s="7"/>
      <c r="F469" s="7"/>
      <c r="G469" s="7"/>
      <c r="H469" s="7"/>
      <c r="I469" s="7"/>
    </row>
    <row r="470">
      <c r="D470" s="7"/>
      <c r="E470" s="7"/>
      <c r="F470" s="7"/>
      <c r="G470" s="7"/>
      <c r="H470" s="7"/>
      <c r="I470" s="7"/>
    </row>
    <row r="471">
      <c r="D471" s="7"/>
      <c r="E471" s="7"/>
      <c r="F471" s="7"/>
      <c r="G471" s="7"/>
      <c r="H471" s="7"/>
      <c r="I471" s="7"/>
    </row>
    <row r="472">
      <c r="D472" s="7"/>
      <c r="E472" s="7"/>
      <c r="F472" s="7"/>
      <c r="G472" s="7"/>
      <c r="H472" s="7"/>
      <c r="I472" s="7"/>
    </row>
    <row r="473">
      <c r="D473" s="7"/>
      <c r="E473" s="7"/>
      <c r="F473" s="7"/>
      <c r="G473" s="7"/>
      <c r="H473" s="7"/>
      <c r="I473" s="7"/>
    </row>
    <row r="474">
      <c r="D474" s="7"/>
      <c r="E474" s="7"/>
      <c r="F474" s="7"/>
      <c r="G474" s="7"/>
      <c r="H474" s="7"/>
      <c r="I474" s="7"/>
    </row>
    <row r="475">
      <c r="D475" s="7"/>
      <c r="E475" s="7"/>
      <c r="F475" s="7"/>
      <c r="G475" s="7"/>
      <c r="H475" s="7"/>
      <c r="I475" s="7"/>
    </row>
    <row r="476">
      <c r="D476" s="7"/>
      <c r="E476" s="7"/>
      <c r="F476" s="7"/>
      <c r="G476" s="7"/>
      <c r="H476" s="7"/>
      <c r="I476" s="7"/>
    </row>
    <row r="477">
      <c r="D477" s="7"/>
      <c r="E477" s="7"/>
      <c r="F477" s="7"/>
      <c r="G477" s="7"/>
      <c r="H477" s="7"/>
      <c r="I477" s="7"/>
    </row>
    <row r="478">
      <c r="D478" s="7"/>
      <c r="E478" s="7"/>
      <c r="F478" s="7"/>
      <c r="G478" s="7"/>
      <c r="H478" s="7"/>
      <c r="I478" s="7"/>
    </row>
    <row r="479">
      <c r="D479" s="7"/>
      <c r="E479" s="7"/>
      <c r="F479" s="7"/>
      <c r="G479" s="7"/>
      <c r="H479" s="7"/>
      <c r="I479" s="7"/>
    </row>
    <row r="480">
      <c r="D480" s="7"/>
      <c r="E480" s="7"/>
      <c r="F480" s="7"/>
      <c r="G480" s="7"/>
      <c r="H480" s="7"/>
      <c r="I480" s="7"/>
    </row>
    <row r="481">
      <c r="D481" s="7"/>
      <c r="E481" s="7"/>
      <c r="F481" s="7"/>
      <c r="G481" s="7"/>
      <c r="H481" s="7"/>
      <c r="I481" s="7"/>
    </row>
    <row r="482">
      <c r="D482" s="7"/>
      <c r="E482" s="7"/>
      <c r="F482" s="7"/>
      <c r="G482" s="7"/>
      <c r="H482" s="7"/>
      <c r="I482" s="7"/>
    </row>
    <row r="483">
      <c r="D483" s="7"/>
      <c r="E483" s="7"/>
      <c r="F483" s="7"/>
      <c r="G483" s="7"/>
      <c r="H483" s="7"/>
      <c r="I483" s="7"/>
    </row>
    <row r="484">
      <c r="D484" s="7"/>
      <c r="E484" s="7"/>
      <c r="F484" s="7"/>
      <c r="G484" s="7"/>
      <c r="H484" s="7"/>
      <c r="I484" s="7"/>
    </row>
    <row r="485">
      <c r="D485" s="7"/>
      <c r="E485" s="7"/>
      <c r="F485" s="7"/>
      <c r="G485" s="7"/>
      <c r="H485" s="7"/>
      <c r="I485" s="7"/>
    </row>
    <row r="486">
      <c r="D486" s="7"/>
      <c r="E486" s="7"/>
      <c r="F486" s="7"/>
      <c r="G486" s="7"/>
      <c r="H486" s="7"/>
      <c r="I486" s="7"/>
    </row>
    <row r="487">
      <c r="D487" s="7"/>
      <c r="E487" s="7"/>
      <c r="F487" s="7"/>
      <c r="G487" s="7"/>
      <c r="H487" s="7"/>
      <c r="I487" s="7"/>
    </row>
    <row r="488">
      <c r="D488" s="7"/>
      <c r="E488" s="7"/>
      <c r="F488" s="7"/>
      <c r="G488" s="7"/>
      <c r="H488" s="7"/>
      <c r="I488" s="7"/>
    </row>
    <row r="489">
      <c r="D489" s="7"/>
      <c r="E489" s="7"/>
      <c r="F489" s="7"/>
      <c r="G489" s="7"/>
      <c r="H489" s="7"/>
      <c r="I489" s="7"/>
    </row>
    <row r="490">
      <c r="D490" s="7"/>
      <c r="E490" s="7"/>
      <c r="F490" s="7"/>
      <c r="G490" s="7"/>
      <c r="H490" s="7"/>
      <c r="I490" s="7"/>
    </row>
    <row r="491">
      <c r="D491" s="7"/>
      <c r="E491" s="7"/>
      <c r="F491" s="7"/>
      <c r="G491" s="7"/>
      <c r="H491" s="7"/>
      <c r="I491" s="7"/>
    </row>
    <row r="492">
      <c r="D492" s="7"/>
      <c r="E492" s="7"/>
      <c r="F492" s="7"/>
      <c r="G492" s="7"/>
      <c r="H492" s="7"/>
      <c r="I492" s="7"/>
    </row>
    <row r="493">
      <c r="D493" s="7"/>
      <c r="E493" s="7"/>
      <c r="F493" s="7"/>
      <c r="G493" s="7"/>
      <c r="H493" s="7"/>
      <c r="I493" s="7"/>
    </row>
    <row r="494">
      <c r="D494" s="7"/>
      <c r="E494" s="7"/>
      <c r="F494" s="7"/>
      <c r="G494" s="7"/>
      <c r="H494" s="7"/>
      <c r="I494" s="7"/>
    </row>
    <row r="495">
      <c r="D495" s="7"/>
      <c r="E495" s="7"/>
      <c r="F495" s="7"/>
      <c r="G495" s="7"/>
      <c r="H495" s="7"/>
      <c r="I495" s="7"/>
    </row>
    <row r="496">
      <c r="D496" s="7"/>
      <c r="E496" s="7"/>
      <c r="F496" s="7"/>
      <c r="G496" s="7"/>
      <c r="H496" s="7"/>
      <c r="I496" s="7"/>
    </row>
    <row r="497">
      <c r="D497" s="7"/>
      <c r="E497" s="7"/>
      <c r="F497" s="7"/>
      <c r="G497" s="7"/>
      <c r="H497" s="7"/>
      <c r="I497" s="7"/>
    </row>
    <row r="498">
      <c r="D498" s="7"/>
      <c r="E498" s="7"/>
      <c r="F498" s="7"/>
      <c r="G498" s="7"/>
      <c r="H498" s="7"/>
      <c r="I498" s="7"/>
    </row>
    <row r="499">
      <c r="D499" s="7"/>
      <c r="E499" s="7"/>
      <c r="F499" s="7"/>
      <c r="G499" s="7"/>
      <c r="H499" s="7"/>
      <c r="I499" s="7"/>
    </row>
    <row r="500">
      <c r="D500" s="7"/>
      <c r="E500" s="7"/>
      <c r="F500" s="7"/>
      <c r="G500" s="7"/>
      <c r="H500" s="7"/>
      <c r="I500" s="7"/>
    </row>
    <row r="501">
      <c r="D501" s="7"/>
      <c r="E501" s="7"/>
      <c r="F501" s="7"/>
      <c r="G501" s="7"/>
      <c r="H501" s="7"/>
      <c r="I501" s="7"/>
    </row>
    <row r="502">
      <c r="D502" s="7"/>
      <c r="E502" s="7"/>
      <c r="F502" s="7"/>
      <c r="G502" s="7"/>
      <c r="H502" s="7"/>
      <c r="I502" s="7"/>
    </row>
    <row r="503">
      <c r="D503" s="7"/>
      <c r="E503" s="7"/>
      <c r="F503" s="7"/>
      <c r="G503" s="7"/>
      <c r="H503" s="7"/>
      <c r="I503" s="7"/>
    </row>
    <row r="504">
      <c r="D504" s="7"/>
      <c r="E504" s="7"/>
      <c r="F504" s="7"/>
      <c r="G504" s="7"/>
      <c r="H504" s="7"/>
      <c r="I504" s="7"/>
    </row>
    <row r="505">
      <c r="D505" s="7"/>
      <c r="E505" s="7"/>
      <c r="F505" s="7"/>
      <c r="G505" s="7"/>
      <c r="H505" s="7"/>
      <c r="I505" s="7"/>
    </row>
    <row r="506">
      <c r="D506" s="7"/>
      <c r="E506" s="7"/>
      <c r="F506" s="7"/>
      <c r="G506" s="7"/>
      <c r="H506" s="7"/>
      <c r="I506" s="7"/>
    </row>
    <row r="507">
      <c r="D507" s="7"/>
      <c r="E507" s="7"/>
      <c r="F507" s="7"/>
      <c r="G507" s="7"/>
      <c r="H507" s="7"/>
      <c r="I507" s="7"/>
    </row>
    <row r="508">
      <c r="D508" s="7"/>
      <c r="E508" s="7"/>
      <c r="F508" s="7"/>
      <c r="G508" s="7"/>
      <c r="H508" s="7"/>
      <c r="I508" s="7"/>
    </row>
    <row r="509">
      <c r="D509" s="7"/>
      <c r="E509" s="7"/>
      <c r="F509" s="7"/>
      <c r="G509" s="7"/>
      <c r="H509" s="7"/>
      <c r="I509" s="7"/>
    </row>
    <row r="510">
      <c r="D510" s="7"/>
      <c r="E510" s="7"/>
      <c r="F510" s="7"/>
      <c r="G510" s="7"/>
      <c r="H510" s="7"/>
      <c r="I510" s="7"/>
    </row>
    <row r="511">
      <c r="D511" s="7"/>
      <c r="E511" s="7"/>
      <c r="F511" s="7"/>
      <c r="G511" s="7"/>
      <c r="H511" s="7"/>
      <c r="I511" s="7"/>
    </row>
    <row r="512">
      <c r="D512" s="7"/>
      <c r="E512" s="7"/>
      <c r="F512" s="7"/>
      <c r="G512" s="7"/>
      <c r="H512" s="7"/>
      <c r="I512" s="7"/>
    </row>
    <row r="513">
      <c r="D513" s="7"/>
      <c r="E513" s="7"/>
      <c r="F513" s="7"/>
      <c r="G513" s="7"/>
      <c r="H513" s="7"/>
      <c r="I513" s="7"/>
    </row>
    <row r="514">
      <c r="D514" s="7"/>
      <c r="E514" s="7"/>
      <c r="F514" s="7"/>
      <c r="G514" s="7"/>
      <c r="H514" s="7"/>
      <c r="I514" s="7"/>
    </row>
    <row r="515">
      <c r="D515" s="7"/>
      <c r="E515" s="7"/>
      <c r="F515" s="7"/>
      <c r="G515" s="7"/>
      <c r="H515" s="7"/>
      <c r="I515" s="7"/>
    </row>
    <row r="516">
      <c r="D516" s="7"/>
      <c r="E516" s="7"/>
      <c r="F516" s="7"/>
      <c r="G516" s="7"/>
      <c r="H516" s="7"/>
      <c r="I516" s="7"/>
    </row>
    <row r="517">
      <c r="D517" s="7"/>
      <c r="E517" s="7"/>
      <c r="F517" s="7"/>
      <c r="G517" s="7"/>
      <c r="H517" s="7"/>
      <c r="I517" s="7"/>
    </row>
    <row r="518">
      <c r="D518" s="7"/>
      <c r="E518" s="7"/>
      <c r="F518" s="7"/>
      <c r="G518" s="7"/>
      <c r="H518" s="7"/>
      <c r="I518" s="7"/>
    </row>
    <row r="519">
      <c r="D519" s="7"/>
      <c r="E519" s="7"/>
      <c r="F519" s="7"/>
      <c r="G519" s="7"/>
      <c r="H519" s="7"/>
      <c r="I519" s="7"/>
    </row>
    <row r="520">
      <c r="D520" s="7"/>
      <c r="E520" s="7"/>
      <c r="F520" s="7"/>
      <c r="G520" s="7"/>
      <c r="H520" s="7"/>
      <c r="I520" s="7"/>
    </row>
    <row r="521">
      <c r="D521" s="7"/>
      <c r="E521" s="7"/>
      <c r="F521" s="7"/>
      <c r="G521" s="7"/>
      <c r="H521" s="7"/>
      <c r="I521" s="7"/>
    </row>
    <row r="522">
      <c r="D522" s="7"/>
      <c r="E522" s="7"/>
      <c r="F522" s="7"/>
      <c r="G522" s="7"/>
      <c r="H522" s="7"/>
      <c r="I522" s="7"/>
    </row>
    <row r="523">
      <c r="D523" s="7"/>
      <c r="E523" s="7"/>
      <c r="F523" s="7"/>
      <c r="G523" s="7"/>
      <c r="H523" s="7"/>
      <c r="I523" s="7"/>
    </row>
    <row r="524">
      <c r="D524" s="7"/>
      <c r="E524" s="7"/>
      <c r="F524" s="7"/>
      <c r="G524" s="7"/>
      <c r="H524" s="7"/>
      <c r="I524" s="7"/>
    </row>
    <row r="525">
      <c r="D525" s="7"/>
      <c r="E525" s="7"/>
      <c r="F525" s="7"/>
      <c r="G525" s="7"/>
      <c r="H525" s="7"/>
      <c r="I525" s="7"/>
    </row>
    <row r="526">
      <c r="D526" s="7"/>
      <c r="E526" s="7"/>
      <c r="F526" s="7"/>
      <c r="G526" s="7"/>
      <c r="H526" s="7"/>
      <c r="I526" s="7"/>
    </row>
    <row r="527">
      <c r="D527" s="7"/>
      <c r="E527" s="7"/>
      <c r="F527" s="7"/>
      <c r="G527" s="7"/>
      <c r="H527" s="7"/>
      <c r="I527" s="7"/>
    </row>
    <row r="528">
      <c r="D528" s="7"/>
      <c r="E528" s="7"/>
      <c r="F528" s="7"/>
      <c r="G528" s="7"/>
      <c r="H528" s="7"/>
      <c r="I528" s="7"/>
    </row>
    <row r="529">
      <c r="D529" s="7"/>
      <c r="E529" s="7"/>
      <c r="F529" s="7"/>
      <c r="G529" s="7"/>
      <c r="H529" s="7"/>
      <c r="I529" s="7"/>
    </row>
    <row r="530">
      <c r="D530" s="7"/>
      <c r="E530" s="7"/>
      <c r="F530" s="7"/>
      <c r="G530" s="7"/>
      <c r="H530" s="7"/>
      <c r="I530" s="7"/>
    </row>
    <row r="531">
      <c r="D531" s="7"/>
      <c r="E531" s="7"/>
      <c r="F531" s="7"/>
      <c r="G531" s="7"/>
      <c r="H531" s="7"/>
      <c r="I531" s="7"/>
    </row>
    <row r="532">
      <c r="D532" s="7"/>
      <c r="E532" s="7"/>
      <c r="F532" s="7"/>
      <c r="G532" s="7"/>
      <c r="H532" s="7"/>
      <c r="I532" s="7"/>
    </row>
    <row r="533">
      <c r="D533" s="7"/>
      <c r="E533" s="7"/>
      <c r="F533" s="7"/>
      <c r="G533" s="7"/>
      <c r="H533" s="7"/>
      <c r="I533" s="7"/>
    </row>
    <row r="534">
      <c r="D534" s="7"/>
      <c r="E534" s="7"/>
      <c r="F534" s="7"/>
      <c r="G534" s="7"/>
      <c r="H534" s="7"/>
      <c r="I534" s="7"/>
    </row>
    <row r="535">
      <c r="D535" s="7"/>
      <c r="E535" s="7"/>
      <c r="F535" s="7"/>
      <c r="G535" s="7"/>
      <c r="H535" s="7"/>
      <c r="I535" s="7"/>
    </row>
    <row r="536">
      <c r="D536" s="7"/>
      <c r="E536" s="7"/>
      <c r="F536" s="7"/>
      <c r="G536" s="7"/>
      <c r="H536" s="7"/>
      <c r="I536" s="7"/>
    </row>
    <row r="537">
      <c r="D537" s="7"/>
      <c r="E537" s="7"/>
      <c r="F537" s="7"/>
      <c r="G537" s="7"/>
      <c r="H537" s="7"/>
      <c r="I537" s="7"/>
    </row>
    <row r="538">
      <c r="D538" s="7"/>
      <c r="E538" s="7"/>
      <c r="F538" s="7"/>
      <c r="G538" s="7"/>
      <c r="H538" s="7"/>
      <c r="I538" s="7"/>
    </row>
    <row r="539">
      <c r="D539" s="7"/>
      <c r="E539" s="7"/>
      <c r="F539" s="7"/>
      <c r="G539" s="7"/>
      <c r="H539" s="7"/>
      <c r="I539" s="7"/>
    </row>
    <row r="540">
      <c r="D540" s="7"/>
      <c r="E540" s="7"/>
      <c r="F540" s="7"/>
      <c r="G540" s="7"/>
      <c r="H540" s="7"/>
      <c r="I540" s="7"/>
    </row>
    <row r="541">
      <c r="D541" s="7"/>
      <c r="E541" s="7"/>
      <c r="F541" s="7"/>
      <c r="G541" s="7"/>
      <c r="H541" s="7"/>
      <c r="I541" s="7"/>
    </row>
    <row r="542">
      <c r="D542" s="7"/>
      <c r="E542" s="7"/>
      <c r="F542" s="7"/>
      <c r="G542" s="7"/>
      <c r="H542" s="7"/>
      <c r="I542" s="7"/>
    </row>
    <row r="543">
      <c r="D543" s="7"/>
      <c r="E543" s="7"/>
      <c r="F543" s="7"/>
      <c r="G543" s="7"/>
      <c r="H543" s="7"/>
      <c r="I543" s="7"/>
    </row>
    <row r="544">
      <c r="D544" s="7"/>
      <c r="E544" s="7"/>
      <c r="F544" s="7"/>
      <c r="G544" s="7"/>
      <c r="H544" s="7"/>
      <c r="I544" s="7"/>
    </row>
    <row r="545">
      <c r="D545" s="7"/>
      <c r="E545" s="7"/>
      <c r="F545" s="7"/>
      <c r="G545" s="7"/>
      <c r="H545" s="7"/>
      <c r="I545" s="7"/>
    </row>
    <row r="546">
      <c r="D546" s="7"/>
      <c r="E546" s="7"/>
      <c r="F546" s="7"/>
      <c r="G546" s="7"/>
      <c r="H546" s="7"/>
      <c r="I546" s="7"/>
    </row>
    <row r="547">
      <c r="D547" s="7"/>
      <c r="E547" s="7"/>
      <c r="F547" s="7"/>
      <c r="G547" s="7"/>
      <c r="H547" s="7"/>
      <c r="I547" s="7"/>
    </row>
    <row r="548">
      <c r="D548" s="7"/>
      <c r="E548" s="7"/>
      <c r="F548" s="7"/>
      <c r="G548" s="7"/>
      <c r="H548" s="7"/>
      <c r="I548" s="7"/>
    </row>
    <row r="549">
      <c r="D549" s="7"/>
      <c r="E549" s="7"/>
      <c r="F549" s="7"/>
      <c r="G549" s="7"/>
      <c r="H549" s="7"/>
      <c r="I549" s="7"/>
    </row>
    <row r="550">
      <c r="D550" s="7"/>
      <c r="E550" s="7"/>
      <c r="F550" s="7"/>
      <c r="G550" s="7"/>
      <c r="H550" s="7"/>
      <c r="I550" s="7"/>
    </row>
    <row r="551">
      <c r="D551" s="7"/>
      <c r="E551" s="7"/>
      <c r="F551" s="7"/>
      <c r="G551" s="7"/>
      <c r="H551" s="7"/>
      <c r="I551" s="7"/>
    </row>
    <row r="552">
      <c r="D552" s="7"/>
      <c r="E552" s="7"/>
      <c r="F552" s="7"/>
      <c r="G552" s="7"/>
      <c r="H552" s="7"/>
      <c r="I552" s="7"/>
    </row>
    <row r="553">
      <c r="D553" s="7"/>
      <c r="E553" s="7"/>
      <c r="F553" s="7"/>
      <c r="G553" s="7"/>
      <c r="H553" s="7"/>
      <c r="I553" s="7"/>
    </row>
    <row r="554">
      <c r="D554" s="7"/>
      <c r="E554" s="7"/>
      <c r="F554" s="7"/>
      <c r="G554" s="7"/>
      <c r="H554" s="7"/>
      <c r="I554" s="7"/>
    </row>
    <row r="555">
      <c r="D555" s="7"/>
      <c r="E555" s="7"/>
      <c r="F555" s="7"/>
      <c r="G555" s="7"/>
      <c r="H555" s="7"/>
      <c r="I555" s="7"/>
    </row>
    <row r="556">
      <c r="D556" s="7"/>
      <c r="E556" s="7"/>
      <c r="F556" s="7"/>
      <c r="G556" s="7"/>
      <c r="H556" s="7"/>
      <c r="I556" s="7"/>
    </row>
    <row r="557">
      <c r="D557" s="7"/>
      <c r="E557" s="7"/>
      <c r="F557" s="7"/>
      <c r="G557" s="7"/>
      <c r="H557" s="7"/>
      <c r="I557" s="7"/>
    </row>
    <row r="558">
      <c r="D558" s="7"/>
      <c r="E558" s="7"/>
      <c r="F558" s="7"/>
      <c r="G558" s="7"/>
      <c r="H558" s="7"/>
      <c r="I558" s="7"/>
    </row>
    <row r="559">
      <c r="D559" s="7"/>
      <c r="E559" s="7"/>
      <c r="F559" s="7"/>
      <c r="G559" s="7"/>
      <c r="H559" s="7"/>
      <c r="I559" s="7"/>
    </row>
    <row r="560">
      <c r="D560" s="7"/>
      <c r="E560" s="7"/>
      <c r="F560" s="7"/>
      <c r="G560" s="7"/>
      <c r="H560" s="7"/>
      <c r="I560" s="7"/>
    </row>
    <row r="561">
      <c r="D561" s="7"/>
      <c r="E561" s="7"/>
      <c r="F561" s="7"/>
      <c r="G561" s="7"/>
      <c r="H561" s="7"/>
      <c r="I561" s="7"/>
    </row>
    <row r="562">
      <c r="D562" s="7"/>
      <c r="E562" s="7"/>
      <c r="F562" s="7"/>
      <c r="G562" s="7"/>
      <c r="H562" s="7"/>
      <c r="I562" s="7"/>
    </row>
    <row r="563">
      <c r="D563" s="7"/>
      <c r="E563" s="7"/>
      <c r="F563" s="7"/>
      <c r="G563" s="7"/>
      <c r="H563" s="7"/>
      <c r="I563" s="7"/>
    </row>
    <row r="564">
      <c r="D564" s="7"/>
      <c r="E564" s="7"/>
      <c r="F564" s="7"/>
      <c r="G564" s="7"/>
      <c r="H564" s="7"/>
      <c r="I564" s="7"/>
    </row>
    <row r="565">
      <c r="D565" s="7"/>
      <c r="E565" s="7"/>
      <c r="F565" s="7"/>
      <c r="G565" s="7"/>
      <c r="H565" s="7"/>
      <c r="I565" s="7"/>
    </row>
    <row r="566">
      <c r="D566" s="7"/>
      <c r="E566" s="7"/>
      <c r="F566" s="7"/>
      <c r="G566" s="7"/>
      <c r="H566" s="7"/>
      <c r="I566" s="7"/>
    </row>
    <row r="567">
      <c r="D567" s="7"/>
      <c r="E567" s="7"/>
      <c r="F567" s="7"/>
      <c r="G567" s="7"/>
      <c r="H567" s="7"/>
      <c r="I567" s="7"/>
    </row>
    <row r="568">
      <c r="D568" s="7"/>
      <c r="E568" s="7"/>
      <c r="F568" s="7"/>
      <c r="G568" s="7"/>
      <c r="H568" s="7"/>
      <c r="I568" s="7"/>
    </row>
    <row r="569">
      <c r="D569" s="7"/>
      <c r="E569" s="7"/>
      <c r="F569" s="7"/>
      <c r="G569" s="7"/>
      <c r="H569" s="7"/>
      <c r="I569" s="7"/>
    </row>
    <row r="570">
      <c r="D570" s="7"/>
      <c r="E570" s="7"/>
      <c r="F570" s="7"/>
      <c r="G570" s="7"/>
      <c r="H570" s="7"/>
      <c r="I570" s="7"/>
    </row>
    <row r="571">
      <c r="D571" s="7"/>
      <c r="E571" s="7"/>
      <c r="F571" s="7"/>
      <c r="G571" s="7"/>
      <c r="H571" s="7"/>
      <c r="I571" s="7"/>
    </row>
    <row r="572">
      <c r="D572" s="7"/>
      <c r="E572" s="7"/>
      <c r="F572" s="7"/>
      <c r="G572" s="7"/>
      <c r="H572" s="7"/>
      <c r="I572" s="7"/>
    </row>
    <row r="573">
      <c r="D573" s="7"/>
      <c r="E573" s="7"/>
      <c r="F573" s="7"/>
      <c r="G573" s="7"/>
      <c r="H573" s="7"/>
      <c r="I573" s="7"/>
    </row>
    <row r="574">
      <c r="D574" s="7"/>
      <c r="E574" s="7"/>
      <c r="F574" s="7"/>
      <c r="G574" s="7"/>
      <c r="H574" s="7"/>
      <c r="I574" s="7"/>
    </row>
    <row r="575">
      <c r="D575" s="7"/>
      <c r="E575" s="7"/>
      <c r="F575" s="7"/>
      <c r="G575" s="7"/>
      <c r="H575" s="7"/>
      <c r="I575" s="7"/>
    </row>
    <row r="576">
      <c r="D576" s="7"/>
      <c r="E576" s="7"/>
      <c r="F576" s="7"/>
      <c r="G576" s="7"/>
      <c r="H576" s="7"/>
      <c r="I576" s="7"/>
    </row>
    <row r="577">
      <c r="D577" s="7"/>
      <c r="E577" s="7"/>
      <c r="F577" s="7"/>
      <c r="G577" s="7"/>
      <c r="H577" s="7"/>
      <c r="I577" s="7"/>
    </row>
    <row r="578">
      <c r="D578" s="7"/>
      <c r="E578" s="7"/>
      <c r="F578" s="7"/>
      <c r="G578" s="7"/>
      <c r="H578" s="7"/>
      <c r="I578" s="7"/>
    </row>
    <row r="579">
      <c r="D579" s="7"/>
      <c r="E579" s="7"/>
      <c r="F579" s="7"/>
      <c r="G579" s="7"/>
      <c r="H579" s="7"/>
      <c r="I579" s="7"/>
    </row>
    <row r="580">
      <c r="D580" s="7"/>
      <c r="E580" s="7"/>
      <c r="F580" s="7"/>
      <c r="G580" s="7"/>
      <c r="H580" s="7"/>
      <c r="I580" s="7"/>
    </row>
    <row r="581">
      <c r="D581" s="7"/>
      <c r="E581" s="7"/>
      <c r="F581" s="7"/>
      <c r="G581" s="7"/>
      <c r="H581" s="7"/>
      <c r="I581" s="7"/>
    </row>
    <row r="582">
      <c r="D582" s="7"/>
      <c r="E582" s="7"/>
      <c r="F582" s="7"/>
      <c r="G582" s="7"/>
      <c r="H582" s="7"/>
      <c r="I582" s="7"/>
    </row>
    <row r="583">
      <c r="D583" s="7"/>
      <c r="E583" s="7"/>
      <c r="F583" s="7"/>
      <c r="G583" s="7"/>
      <c r="H583" s="7"/>
      <c r="I583" s="7"/>
    </row>
    <row r="584">
      <c r="D584" s="7"/>
      <c r="E584" s="7"/>
      <c r="F584" s="7"/>
      <c r="G584" s="7"/>
      <c r="H584" s="7"/>
      <c r="I584" s="7"/>
    </row>
    <row r="585">
      <c r="D585" s="7"/>
      <c r="E585" s="7"/>
      <c r="F585" s="7"/>
      <c r="G585" s="7"/>
      <c r="H585" s="7"/>
      <c r="I585" s="7"/>
    </row>
    <row r="586">
      <c r="D586" s="7"/>
      <c r="E586" s="7"/>
      <c r="F586" s="7"/>
      <c r="G586" s="7"/>
      <c r="H586" s="7"/>
      <c r="I586" s="7"/>
    </row>
    <row r="587">
      <c r="D587" s="7"/>
      <c r="E587" s="7"/>
      <c r="F587" s="7"/>
      <c r="G587" s="7"/>
      <c r="H587" s="7"/>
      <c r="I587" s="7"/>
    </row>
    <row r="588">
      <c r="D588" s="7"/>
      <c r="E588" s="7"/>
      <c r="F588" s="7"/>
      <c r="G588" s="7"/>
      <c r="H588" s="7"/>
      <c r="I588" s="7"/>
    </row>
    <row r="589">
      <c r="D589" s="7"/>
      <c r="E589" s="7"/>
      <c r="F589" s="7"/>
      <c r="G589" s="7"/>
      <c r="H589" s="7"/>
      <c r="I589" s="7"/>
    </row>
    <row r="590">
      <c r="D590" s="7"/>
      <c r="E590" s="7"/>
      <c r="F590" s="7"/>
      <c r="G590" s="7"/>
      <c r="H590" s="7"/>
      <c r="I590" s="7"/>
    </row>
    <row r="591">
      <c r="D591" s="7"/>
      <c r="E591" s="7"/>
      <c r="F591" s="7"/>
      <c r="G591" s="7"/>
      <c r="H591" s="7"/>
      <c r="I591" s="7"/>
    </row>
    <row r="592">
      <c r="D592" s="7"/>
      <c r="E592" s="7"/>
      <c r="F592" s="7"/>
      <c r="G592" s="7"/>
      <c r="H592" s="7"/>
      <c r="I592" s="7"/>
    </row>
    <row r="593">
      <c r="D593" s="7"/>
      <c r="E593" s="7"/>
      <c r="F593" s="7"/>
      <c r="G593" s="7"/>
      <c r="H593" s="7"/>
      <c r="I593" s="7"/>
    </row>
    <row r="594">
      <c r="D594" s="7"/>
      <c r="E594" s="7"/>
      <c r="F594" s="7"/>
      <c r="G594" s="7"/>
      <c r="H594" s="7"/>
      <c r="I594" s="7"/>
    </row>
    <row r="595">
      <c r="D595" s="7"/>
      <c r="E595" s="7"/>
      <c r="F595" s="7"/>
      <c r="G595" s="7"/>
      <c r="H595" s="7"/>
      <c r="I595" s="7"/>
    </row>
    <row r="596">
      <c r="D596" s="7"/>
      <c r="E596" s="7"/>
      <c r="F596" s="7"/>
      <c r="G596" s="7"/>
      <c r="H596" s="7"/>
      <c r="I596" s="7"/>
    </row>
    <row r="597">
      <c r="D597" s="7"/>
      <c r="E597" s="7"/>
      <c r="F597" s="7"/>
      <c r="G597" s="7"/>
      <c r="H597" s="7"/>
      <c r="I597" s="7"/>
    </row>
    <row r="598">
      <c r="D598" s="7"/>
      <c r="E598" s="7"/>
      <c r="F598" s="7"/>
      <c r="G598" s="7"/>
      <c r="H598" s="7"/>
      <c r="I598" s="7"/>
    </row>
    <row r="599">
      <c r="D599" s="7"/>
      <c r="E599" s="7"/>
      <c r="F599" s="7"/>
      <c r="G599" s="7"/>
      <c r="H599" s="7"/>
      <c r="I599" s="7"/>
    </row>
    <row r="600">
      <c r="D600" s="7"/>
      <c r="E600" s="7"/>
      <c r="F600" s="7"/>
      <c r="G600" s="7"/>
      <c r="H600" s="7"/>
      <c r="I600" s="7"/>
    </row>
    <row r="601">
      <c r="D601" s="7"/>
      <c r="E601" s="7"/>
      <c r="F601" s="7"/>
      <c r="G601" s="7"/>
      <c r="H601" s="7"/>
      <c r="I601" s="7"/>
    </row>
    <row r="602">
      <c r="D602" s="7"/>
      <c r="E602" s="7"/>
      <c r="F602" s="7"/>
      <c r="G602" s="7"/>
      <c r="H602" s="7"/>
      <c r="I602" s="7"/>
    </row>
    <row r="603">
      <c r="D603" s="7"/>
      <c r="E603" s="7"/>
      <c r="F603" s="7"/>
      <c r="G603" s="7"/>
      <c r="H603" s="7"/>
      <c r="I603" s="7"/>
    </row>
    <row r="604">
      <c r="D604" s="7"/>
      <c r="E604" s="7"/>
      <c r="F604" s="7"/>
      <c r="G604" s="7"/>
      <c r="H604" s="7"/>
      <c r="I604" s="7"/>
    </row>
    <row r="605">
      <c r="D605" s="7"/>
      <c r="E605" s="7"/>
      <c r="F605" s="7"/>
      <c r="G605" s="7"/>
      <c r="H605" s="7"/>
      <c r="I605" s="7"/>
    </row>
    <row r="606">
      <c r="D606" s="7"/>
      <c r="E606" s="7"/>
      <c r="F606" s="7"/>
      <c r="G606" s="7"/>
      <c r="H606" s="7"/>
      <c r="I606" s="7"/>
    </row>
    <row r="607">
      <c r="D607" s="7"/>
      <c r="E607" s="7"/>
      <c r="F607" s="7"/>
      <c r="G607" s="7"/>
      <c r="H607" s="7"/>
      <c r="I607" s="7"/>
    </row>
    <row r="608">
      <c r="D608" s="7"/>
      <c r="E608" s="7"/>
      <c r="F608" s="7"/>
      <c r="G608" s="7"/>
      <c r="H608" s="7"/>
      <c r="I608" s="7"/>
    </row>
    <row r="609">
      <c r="D609" s="7"/>
      <c r="E609" s="7"/>
      <c r="F609" s="7"/>
      <c r="G609" s="7"/>
      <c r="H609" s="7"/>
      <c r="I609" s="7"/>
    </row>
    <row r="610">
      <c r="D610" s="7"/>
      <c r="E610" s="7"/>
      <c r="F610" s="7"/>
      <c r="G610" s="7"/>
      <c r="H610" s="7"/>
      <c r="I610" s="7"/>
    </row>
    <row r="611">
      <c r="D611" s="7"/>
      <c r="E611" s="7"/>
      <c r="F611" s="7"/>
      <c r="G611" s="7"/>
      <c r="H611" s="7"/>
      <c r="I611" s="7"/>
    </row>
    <row r="612">
      <c r="D612" s="7"/>
      <c r="E612" s="7"/>
      <c r="F612" s="7"/>
      <c r="G612" s="7"/>
      <c r="H612" s="7"/>
      <c r="I612" s="7"/>
    </row>
    <row r="613">
      <c r="D613" s="7"/>
      <c r="E613" s="7"/>
      <c r="F613" s="7"/>
      <c r="G613" s="7"/>
      <c r="H613" s="7"/>
      <c r="I613" s="7"/>
    </row>
    <row r="614">
      <c r="D614" s="7"/>
      <c r="E614" s="7"/>
      <c r="F614" s="7"/>
      <c r="G614" s="7"/>
      <c r="H614" s="7"/>
      <c r="I614" s="7"/>
    </row>
    <row r="615">
      <c r="D615" s="7"/>
      <c r="E615" s="7"/>
      <c r="F615" s="7"/>
      <c r="G615" s="7"/>
      <c r="H615" s="7"/>
      <c r="I615" s="7"/>
    </row>
    <row r="616">
      <c r="D616" s="7"/>
      <c r="E616" s="7"/>
      <c r="F616" s="7"/>
      <c r="G616" s="7"/>
      <c r="H616" s="7"/>
      <c r="I616" s="7"/>
    </row>
    <row r="617">
      <c r="D617" s="7"/>
      <c r="E617" s="7"/>
      <c r="F617" s="7"/>
      <c r="G617" s="7"/>
      <c r="H617" s="7"/>
      <c r="I617" s="7"/>
    </row>
    <row r="618">
      <c r="D618" s="7"/>
      <c r="E618" s="7"/>
      <c r="F618" s="7"/>
      <c r="G618" s="7"/>
      <c r="H618" s="7"/>
      <c r="I618" s="7"/>
    </row>
    <row r="619">
      <c r="D619" s="7"/>
      <c r="E619" s="7"/>
      <c r="F619" s="7"/>
      <c r="G619" s="7"/>
      <c r="H619" s="7"/>
      <c r="I619" s="7"/>
    </row>
    <row r="620">
      <c r="D620" s="7"/>
      <c r="E620" s="7"/>
      <c r="F620" s="7"/>
      <c r="G620" s="7"/>
      <c r="H620" s="7"/>
      <c r="I620" s="7"/>
    </row>
    <row r="621">
      <c r="D621" s="7"/>
      <c r="E621" s="7"/>
      <c r="F621" s="7"/>
      <c r="G621" s="7"/>
      <c r="H621" s="7"/>
      <c r="I621" s="7"/>
    </row>
    <row r="622">
      <c r="D622" s="7"/>
      <c r="E622" s="7"/>
      <c r="F622" s="7"/>
      <c r="G622" s="7"/>
      <c r="H622" s="7"/>
      <c r="I622" s="7"/>
    </row>
    <row r="623">
      <c r="D623" s="7"/>
      <c r="E623" s="7"/>
      <c r="F623" s="7"/>
      <c r="G623" s="7"/>
      <c r="H623" s="7"/>
      <c r="I623" s="7"/>
    </row>
    <row r="624">
      <c r="D624" s="7"/>
      <c r="E624" s="7"/>
      <c r="F624" s="7"/>
      <c r="G624" s="7"/>
      <c r="H624" s="7"/>
      <c r="I624" s="7"/>
    </row>
    <row r="625">
      <c r="D625" s="7"/>
      <c r="E625" s="7"/>
      <c r="F625" s="7"/>
      <c r="G625" s="7"/>
      <c r="H625" s="7"/>
      <c r="I625" s="7"/>
    </row>
    <row r="626">
      <c r="D626" s="7"/>
      <c r="E626" s="7"/>
      <c r="F626" s="7"/>
      <c r="G626" s="7"/>
      <c r="H626" s="7"/>
      <c r="I626" s="7"/>
    </row>
    <row r="627">
      <c r="D627" s="7"/>
      <c r="E627" s="7"/>
      <c r="F627" s="7"/>
      <c r="G627" s="7"/>
      <c r="H627" s="7"/>
      <c r="I627" s="7"/>
    </row>
    <row r="628">
      <c r="D628" s="7"/>
      <c r="E628" s="7"/>
      <c r="F628" s="7"/>
      <c r="G628" s="7"/>
      <c r="H628" s="7"/>
      <c r="I628" s="7"/>
    </row>
    <row r="629">
      <c r="D629" s="7"/>
      <c r="E629" s="7"/>
      <c r="F629" s="7"/>
      <c r="G629" s="7"/>
      <c r="H629" s="7"/>
      <c r="I629" s="7"/>
    </row>
    <row r="630">
      <c r="D630" s="7"/>
      <c r="E630" s="7"/>
      <c r="F630" s="7"/>
      <c r="G630" s="7"/>
      <c r="H630" s="7"/>
      <c r="I630" s="7"/>
    </row>
    <row r="631">
      <c r="D631" s="7"/>
      <c r="E631" s="7"/>
      <c r="F631" s="7"/>
      <c r="G631" s="7"/>
      <c r="H631" s="7"/>
      <c r="I631" s="7"/>
    </row>
    <row r="632">
      <c r="D632" s="7"/>
      <c r="E632" s="7"/>
      <c r="F632" s="7"/>
      <c r="G632" s="7"/>
      <c r="H632" s="7"/>
      <c r="I632" s="7"/>
    </row>
    <row r="633">
      <c r="D633" s="7"/>
      <c r="E633" s="7"/>
      <c r="F633" s="7"/>
      <c r="G633" s="7"/>
      <c r="H633" s="7"/>
      <c r="I633" s="7"/>
    </row>
    <row r="634">
      <c r="D634" s="7"/>
      <c r="E634" s="7"/>
      <c r="F634" s="7"/>
      <c r="G634" s="7"/>
      <c r="H634" s="7"/>
      <c r="I634" s="7"/>
    </row>
    <row r="635">
      <c r="D635" s="7"/>
      <c r="E635" s="7"/>
      <c r="F635" s="7"/>
      <c r="G635" s="7"/>
      <c r="H635" s="7"/>
      <c r="I635" s="7"/>
    </row>
    <row r="636">
      <c r="D636" s="7"/>
      <c r="E636" s="7"/>
      <c r="F636" s="7"/>
      <c r="G636" s="7"/>
      <c r="H636" s="7"/>
      <c r="I636" s="7"/>
    </row>
    <row r="637">
      <c r="D637" s="7"/>
      <c r="E637" s="7"/>
      <c r="F637" s="7"/>
      <c r="G637" s="7"/>
      <c r="H637" s="7"/>
      <c r="I637" s="7"/>
    </row>
    <row r="638">
      <c r="D638" s="7"/>
      <c r="E638" s="7"/>
      <c r="F638" s="7"/>
      <c r="G638" s="7"/>
      <c r="H638" s="7"/>
      <c r="I638" s="7"/>
    </row>
    <row r="639">
      <c r="D639" s="7"/>
      <c r="E639" s="7"/>
      <c r="F639" s="7"/>
      <c r="G639" s="7"/>
      <c r="H639" s="7"/>
      <c r="I639" s="7"/>
    </row>
    <row r="640">
      <c r="D640" s="7"/>
      <c r="E640" s="7"/>
      <c r="F640" s="7"/>
      <c r="G640" s="7"/>
      <c r="H640" s="7"/>
      <c r="I640" s="7"/>
    </row>
    <row r="641">
      <c r="D641" s="7"/>
      <c r="E641" s="7"/>
      <c r="F641" s="7"/>
      <c r="G641" s="7"/>
      <c r="H641" s="7"/>
      <c r="I641" s="7"/>
    </row>
    <row r="642">
      <c r="D642" s="7"/>
      <c r="E642" s="7"/>
      <c r="F642" s="7"/>
      <c r="G642" s="7"/>
      <c r="H642" s="7"/>
      <c r="I642" s="7"/>
    </row>
    <row r="643">
      <c r="D643" s="7"/>
      <c r="E643" s="7"/>
      <c r="F643" s="7"/>
      <c r="G643" s="7"/>
      <c r="H643" s="7"/>
      <c r="I643" s="7"/>
    </row>
    <row r="644">
      <c r="D644" s="7"/>
      <c r="E644" s="7"/>
      <c r="F644" s="7"/>
      <c r="G644" s="7"/>
      <c r="H644" s="7"/>
      <c r="I644" s="7"/>
    </row>
    <row r="645">
      <c r="D645" s="7"/>
      <c r="E645" s="7"/>
      <c r="F645" s="7"/>
      <c r="G645" s="7"/>
      <c r="H645" s="7"/>
      <c r="I645" s="7"/>
    </row>
    <row r="646">
      <c r="D646" s="7"/>
      <c r="E646" s="7"/>
      <c r="F646" s="7"/>
      <c r="G646" s="7"/>
      <c r="H646" s="7"/>
      <c r="I646" s="7"/>
    </row>
    <row r="647">
      <c r="D647" s="7"/>
      <c r="E647" s="7"/>
      <c r="F647" s="7"/>
      <c r="G647" s="7"/>
      <c r="H647" s="7"/>
      <c r="I647" s="7"/>
    </row>
    <row r="648">
      <c r="D648" s="7"/>
      <c r="E648" s="7"/>
      <c r="F648" s="7"/>
      <c r="G648" s="7"/>
      <c r="H648" s="7"/>
      <c r="I648" s="7"/>
    </row>
    <row r="649">
      <c r="D649" s="7"/>
      <c r="E649" s="7"/>
      <c r="F649" s="7"/>
      <c r="G649" s="7"/>
      <c r="H649" s="7"/>
      <c r="I649" s="7"/>
    </row>
    <row r="650">
      <c r="D650" s="7"/>
      <c r="E650" s="7"/>
      <c r="F650" s="7"/>
      <c r="G650" s="7"/>
      <c r="H650" s="7"/>
      <c r="I650" s="7"/>
    </row>
    <row r="651">
      <c r="D651" s="7"/>
      <c r="E651" s="7"/>
      <c r="F651" s="7"/>
      <c r="G651" s="7"/>
      <c r="H651" s="7"/>
      <c r="I651" s="7"/>
    </row>
    <row r="652">
      <c r="D652" s="7"/>
      <c r="E652" s="7"/>
      <c r="F652" s="7"/>
      <c r="G652" s="7"/>
      <c r="H652" s="7"/>
      <c r="I652" s="7"/>
    </row>
    <row r="653">
      <c r="D653" s="7"/>
      <c r="E653" s="7"/>
      <c r="F653" s="7"/>
      <c r="G653" s="7"/>
      <c r="H653" s="7"/>
      <c r="I653" s="7"/>
    </row>
    <row r="654">
      <c r="D654" s="7"/>
      <c r="E654" s="7"/>
      <c r="F654" s="7"/>
      <c r="G654" s="7"/>
      <c r="H654" s="7"/>
      <c r="I654" s="7"/>
    </row>
    <row r="655">
      <c r="D655" s="7"/>
      <c r="E655" s="7"/>
      <c r="F655" s="7"/>
      <c r="G655" s="7"/>
      <c r="H655" s="7"/>
      <c r="I655" s="7"/>
    </row>
    <row r="656">
      <c r="D656" s="7"/>
      <c r="E656" s="7"/>
      <c r="F656" s="7"/>
      <c r="G656" s="7"/>
      <c r="H656" s="7"/>
      <c r="I656" s="7"/>
    </row>
    <row r="657">
      <c r="D657" s="7"/>
      <c r="E657" s="7"/>
      <c r="F657" s="7"/>
      <c r="G657" s="7"/>
      <c r="H657" s="7"/>
      <c r="I657" s="7"/>
    </row>
    <row r="658">
      <c r="D658" s="7"/>
      <c r="E658" s="7"/>
      <c r="F658" s="7"/>
      <c r="G658" s="7"/>
      <c r="H658" s="7"/>
      <c r="I658" s="7"/>
    </row>
    <row r="659">
      <c r="D659" s="7"/>
      <c r="E659" s="7"/>
      <c r="F659" s="7"/>
      <c r="G659" s="7"/>
      <c r="H659" s="7"/>
      <c r="I659" s="7"/>
    </row>
    <row r="660">
      <c r="D660" s="7"/>
      <c r="E660" s="7"/>
      <c r="F660" s="7"/>
      <c r="G660" s="7"/>
      <c r="H660" s="7"/>
      <c r="I660" s="7"/>
    </row>
    <row r="661">
      <c r="D661" s="7"/>
      <c r="E661" s="7"/>
      <c r="F661" s="7"/>
      <c r="G661" s="7"/>
      <c r="H661" s="7"/>
      <c r="I661" s="7"/>
    </row>
    <row r="662">
      <c r="D662" s="7"/>
      <c r="E662" s="7"/>
      <c r="F662" s="7"/>
      <c r="G662" s="7"/>
      <c r="H662" s="7"/>
      <c r="I662" s="7"/>
    </row>
    <row r="663">
      <c r="D663" s="7"/>
      <c r="E663" s="7"/>
      <c r="F663" s="7"/>
      <c r="G663" s="7"/>
      <c r="H663" s="7"/>
      <c r="I663" s="7"/>
    </row>
    <row r="664">
      <c r="D664" s="7"/>
      <c r="E664" s="7"/>
      <c r="F664" s="7"/>
      <c r="G664" s="7"/>
      <c r="H664" s="7"/>
      <c r="I664" s="7"/>
    </row>
    <row r="665">
      <c r="D665" s="7"/>
      <c r="E665" s="7"/>
      <c r="F665" s="7"/>
      <c r="G665" s="7"/>
      <c r="H665" s="7"/>
      <c r="I665" s="7"/>
    </row>
    <row r="666">
      <c r="D666" s="7"/>
      <c r="E666" s="7"/>
      <c r="F666" s="7"/>
      <c r="G666" s="7"/>
      <c r="H666" s="7"/>
      <c r="I666" s="7"/>
    </row>
    <row r="667">
      <c r="D667" s="7"/>
      <c r="E667" s="7"/>
      <c r="F667" s="7"/>
      <c r="G667" s="7"/>
      <c r="H667" s="7"/>
      <c r="I667" s="7"/>
    </row>
    <row r="668">
      <c r="D668" s="7"/>
      <c r="E668" s="7"/>
      <c r="F668" s="7"/>
      <c r="G668" s="7"/>
      <c r="H668" s="7"/>
      <c r="I668" s="7"/>
    </row>
    <row r="669">
      <c r="D669" s="7"/>
      <c r="E669" s="7"/>
      <c r="F669" s="7"/>
      <c r="G669" s="7"/>
      <c r="H669" s="7"/>
      <c r="I669" s="7"/>
    </row>
    <row r="670">
      <c r="D670" s="7"/>
      <c r="E670" s="7"/>
      <c r="F670" s="7"/>
      <c r="G670" s="7"/>
      <c r="H670" s="7"/>
      <c r="I670" s="7"/>
    </row>
    <row r="671">
      <c r="D671" s="7"/>
      <c r="E671" s="7"/>
      <c r="F671" s="7"/>
      <c r="G671" s="7"/>
      <c r="H671" s="7"/>
      <c r="I671" s="7"/>
    </row>
    <row r="672">
      <c r="D672" s="7"/>
      <c r="E672" s="7"/>
      <c r="F672" s="7"/>
      <c r="G672" s="7"/>
      <c r="H672" s="7"/>
      <c r="I672" s="7"/>
    </row>
    <row r="673">
      <c r="D673" s="7"/>
      <c r="E673" s="7"/>
      <c r="F673" s="7"/>
      <c r="G673" s="7"/>
      <c r="H673" s="7"/>
      <c r="I673" s="7"/>
    </row>
    <row r="674">
      <c r="D674" s="7"/>
      <c r="E674" s="7"/>
      <c r="F674" s="7"/>
      <c r="G674" s="7"/>
      <c r="H674" s="7"/>
      <c r="I674" s="7"/>
    </row>
    <row r="675">
      <c r="D675" s="7"/>
      <c r="E675" s="7"/>
      <c r="F675" s="7"/>
      <c r="G675" s="7"/>
      <c r="H675" s="7"/>
      <c r="I675" s="7"/>
    </row>
    <row r="676">
      <c r="D676" s="7"/>
      <c r="E676" s="7"/>
      <c r="F676" s="7"/>
      <c r="G676" s="7"/>
      <c r="H676" s="7"/>
      <c r="I676" s="7"/>
    </row>
    <row r="677">
      <c r="D677" s="7"/>
      <c r="E677" s="7"/>
      <c r="F677" s="7"/>
      <c r="G677" s="7"/>
      <c r="H677" s="7"/>
      <c r="I677" s="7"/>
    </row>
    <row r="678">
      <c r="D678" s="7"/>
      <c r="E678" s="7"/>
      <c r="F678" s="7"/>
      <c r="G678" s="7"/>
      <c r="H678" s="7"/>
      <c r="I678" s="7"/>
    </row>
    <row r="679">
      <c r="D679" s="7"/>
      <c r="E679" s="7"/>
      <c r="F679" s="7"/>
      <c r="G679" s="7"/>
      <c r="H679" s="7"/>
      <c r="I679" s="7"/>
    </row>
    <row r="680">
      <c r="D680" s="7"/>
      <c r="E680" s="7"/>
      <c r="F680" s="7"/>
      <c r="G680" s="7"/>
      <c r="H680" s="7"/>
      <c r="I680" s="7"/>
    </row>
    <row r="681">
      <c r="D681" s="7"/>
      <c r="E681" s="7"/>
      <c r="F681" s="7"/>
      <c r="G681" s="7"/>
      <c r="H681" s="7"/>
      <c r="I681" s="7"/>
    </row>
    <row r="682">
      <c r="D682" s="7"/>
      <c r="E682" s="7"/>
      <c r="F682" s="7"/>
      <c r="G682" s="7"/>
      <c r="H682" s="7"/>
      <c r="I682" s="7"/>
    </row>
    <row r="683">
      <c r="D683" s="7"/>
      <c r="E683" s="7"/>
      <c r="F683" s="7"/>
      <c r="G683" s="7"/>
      <c r="H683" s="7"/>
      <c r="I683" s="7"/>
    </row>
    <row r="684">
      <c r="D684" s="7"/>
      <c r="E684" s="7"/>
      <c r="F684" s="7"/>
      <c r="G684" s="7"/>
      <c r="H684" s="7"/>
      <c r="I684" s="7"/>
    </row>
    <row r="685">
      <c r="D685" s="7"/>
      <c r="E685" s="7"/>
      <c r="F685" s="7"/>
      <c r="G685" s="7"/>
      <c r="H685" s="7"/>
      <c r="I685" s="7"/>
    </row>
    <row r="686">
      <c r="D686" s="7"/>
      <c r="E686" s="7"/>
      <c r="F686" s="7"/>
      <c r="G686" s="7"/>
      <c r="H686" s="7"/>
      <c r="I686" s="7"/>
    </row>
    <row r="687">
      <c r="D687" s="7"/>
      <c r="E687" s="7"/>
      <c r="F687" s="7"/>
      <c r="G687" s="7"/>
      <c r="H687" s="7"/>
      <c r="I687" s="7"/>
    </row>
    <row r="688">
      <c r="D688" s="7"/>
      <c r="E688" s="7"/>
      <c r="F688" s="7"/>
      <c r="G688" s="7"/>
      <c r="H688" s="7"/>
      <c r="I688" s="7"/>
    </row>
    <row r="689">
      <c r="D689" s="7"/>
      <c r="E689" s="7"/>
      <c r="F689" s="7"/>
      <c r="G689" s="7"/>
      <c r="H689" s="7"/>
      <c r="I689" s="7"/>
    </row>
    <row r="690">
      <c r="D690" s="7"/>
      <c r="E690" s="7"/>
      <c r="F690" s="7"/>
      <c r="G690" s="7"/>
      <c r="H690" s="7"/>
      <c r="I690" s="7"/>
    </row>
    <row r="691">
      <c r="D691" s="7"/>
      <c r="E691" s="7"/>
      <c r="F691" s="7"/>
      <c r="G691" s="7"/>
      <c r="H691" s="7"/>
      <c r="I691" s="7"/>
    </row>
    <row r="692">
      <c r="D692" s="7"/>
      <c r="E692" s="7"/>
      <c r="F692" s="7"/>
      <c r="G692" s="7"/>
      <c r="H692" s="7"/>
      <c r="I692" s="7"/>
    </row>
    <row r="693">
      <c r="D693" s="7"/>
      <c r="E693" s="7"/>
      <c r="F693" s="7"/>
      <c r="G693" s="7"/>
      <c r="H693" s="7"/>
      <c r="I693" s="7"/>
    </row>
    <row r="694">
      <c r="D694" s="7"/>
      <c r="E694" s="7"/>
      <c r="F694" s="7"/>
      <c r="G694" s="7"/>
      <c r="H694" s="7"/>
      <c r="I694" s="7"/>
    </row>
    <row r="695">
      <c r="D695" s="7"/>
      <c r="E695" s="7"/>
      <c r="F695" s="7"/>
      <c r="G695" s="7"/>
      <c r="H695" s="7"/>
      <c r="I695" s="7"/>
    </row>
    <row r="696">
      <c r="D696" s="7"/>
      <c r="E696" s="7"/>
      <c r="F696" s="7"/>
      <c r="G696" s="7"/>
      <c r="H696" s="7"/>
      <c r="I696" s="7"/>
    </row>
    <row r="697">
      <c r="D697" s="7"/>
      <c r="E697" s="7"/>
      <c r="F697" s="7"/>
      <c r="G697" s="7"/>
      <c r="H697" s="7"/>
      <c r="I697" s="7"/>
    </row>
    <row r="698">
      <c r="D698" s="7"/>
      <c r="E698" s="7"/>
      <c r="F698" s="7"/>
      <c r="G698" s="7"/>
      <c r="H698" s="7"/>
      <c r="I698" s="7"/>
    </row>
    <row r="699">
      <c r="D699" s="7"/>
      <c r="E699" s="7"/>
      <c r="F699" s="7"/>
      <c r="G699" s="7"/>
      <c r="H699" s="7"/>
      <c r="I699" s="7"/>
    </row>
    <row r="700">
      <c r="D700" s="7"/>
      <c r="E700" s="7"/>
      <c r="F700" s="7"/>
      <c r="G700" s="7"/>
      <c r="H700" s="7"/>
      <c r="I700" s="7"/>
    </row>
    <row r="701">
      <c r="D701" s="7"/>
      <c r="E701" s="7"/>
      <c r="F701" s="7"/>
      <c r="G701" s="7"/>
      <c r="H701" s="7"/>
      <c r="I701" s="7"/>
    </row>
    <row r="702">
      <c r="D702" s="7"/>
      <c r="E702" s="7"/>
      <c r="F702" s="7"/>
      <c r="G702" s="7"/>
      <c r="H702" s="7"/>
      <c r="I702" s="7"/>
    </row>
    <row r="703">
      <c r="D703" s="7"/>
      <c r="E703" s="7"/>
      <c r="F703" s="7"/>
      <c r="G703" s="7"/>
      <c r="H703" s="7"/>
      <c r="I703" s="7"/>
    </row>
    <row r="704">
      <c r="D704" s="7"/>
      <c r="E704" s="7"/>
      <c r="F704" s="7"/>
      <c r="G704" s="7"/>
      <c r="H704" s="7"/>
      <c r="I704" s="7"/>
    </row>
    <row r="705">
      <c r="D705" s="7"/>
      <c r="E705" s="7"/>
      <c r="F705" s="7"/>
      <c r="G705" s="7"/>
      <c r="H705" s="7"/>
      <c r="I705" s="7"/>
    </row>
    <row r="706">
      <c r="D706" s="7"/>
      <c r="E706" s="7"/>
      <c r="F706" s="7"/>
      <c r="G706" s="7"/>
      <c r="H706" s="7"/>
      <c r="I706" s="7"/>
    </row>
    <row r="707">
      <c r="D707" s="7"/>
      <c r="E707" s="7"/>
      <c r="F707" s="7"/>
      <c r="G707" s="7"/>
      <c r="H707" s="7"/>
      <c r="I707" s="7"/>
    </row>
    <row r="708">
      <c r="D708" s="7"/>
      <c r="E708" s="7"/>
      <c r="F708" s="7"/>
      <c r="G708" s="7"/>
      <c r="H708" s="7"/>
      <c r="I708" s="7"/>
    </row>
    <row r="709">
      <c r="D709" s="7"/>
      <c r="E709" s="7"/>
      <c r="F709" s="7"/>
      <c r="G709" s="7"/>
      <c r="H709" s="7"/>
      <c r="I709" s="7"/>
    </row>
    <row r="710">
      <c r="D710" s="7"/>
      <c r="E710" s="7"/>
      <c r="F710" s="7"/>
      <c r="G710" s="7"/>
      <c r="H710" s="7"/>
      <c r="I710" s="7"/>
    </row>
    <row r="711">
      <c r="D711" s="7"/>
      <c r="E711" s="7"/>
      <c r="F711" s="7"/>
      <c r="G711" s="7"/>
      <c r="H711" s="7"/>
      <c r="I711" s="7"/>
    </row>
    <row r="712">
      <c r="D712" s="7"/>
      <c r="E712" s="7"/>
      <c r="F712" s="7"/>
      <c r="G712" s="7"/>
      <c r="H712" s="7"/>
      <c r="I712" s="7"/>
    </row>
    <row r="713">
      <c r="D713" s="7"/>
      <c r="E713" s="7"/>
      <c r="F713" s="7"/>
      <c r="G713" s="7"/>
      <c r="H713" s="7"/>
      <c r="I713" s="7"/>
    </row>
    <row r="714">
      <c r="D714" s="7"/>
      <c r="E714" s="7"/>
      <c r="F714" s="7"/>
      <c r="G714" s="7"/>
      <c r="H714" s="7"/>
      <c r="I714" s="7"/>
    </row>
    <row r="715">
      <c r="D715" s="7"/>
      <c r="E715" s="7"/>
      <c r="F715" s="7"/>
      <c r="G715" s="7"/>
      <c r="H715" s="7"/>
      <c r="I715" s="7"/>
    </row>
    <row r="716">
      <c r="D716" s="7"/>
      <c r="E716" s="7"/>
      <c r="F716" s="7"/>
      <c r="G716" s="7"/>
      <c r="H716" s="7"/>
      <c r="I716" s="7"/>
    </row>
    <row r="717">
      <c r="D717" s="7"/>
      <c r="E717" s="7"/>
      <c r="F717" s="7"/>
      <c r="G717" s="7"/>
      <c r="H717" s="7"/>
      <c r="I717" s="7"/>
    </row>
    <row r="718">
      <c r="D718" s="7"/>
      <c r="E718" s="7"/>
      <c r="F718" s="7"/>
      <c r="G718" s="7"/>
      <c r="H718" s="7"/>
      <c r="I718" s="7"/>
    </row>
    <row r="719">
      <c r="D719" s="7"/>
      <c r="E719" s="7"/>
      <c r="F719" s="7"/>
      <c r="G719" s="7"/>
      <c r="H719" s="7"/>
      <c r="I719" s="7"/>
    </row>
    <row r="720">
      <c r="D720" s="7"/>
      <c r="E720" s="7"/>
      <c r="F720" s="7"/>
      <c r="G720" s="7"/>
      <c r="H720" s="7"/>
      <c r="I720" s="7"/>
    </row>
    <row r="721">
      <c r="D721" s="7"/>
      <c r="E721" s="7"/>
      <c r="F721" s="7"/>
      <c r="G721" s="7"/>
      <c r="H721" s="7"/>
      <c r="I721" s="7"/>
    </row>
    <row r="722">
      <c r="D722" s="7"/>
      <c r="E722" s="7"/>
      <c r="F722" s="7"/>
      <c r="G722" s="7"/>
      <c r="H722" s="7"/>
      <c r="I722" s="7"/>
    </row>
    <row r="723">
      <c r="D723" s="7"/>
      <c r="E723" s="7"/>
      <c r="F723" s="7"/>
      <c r="G723" s="7"/>
      <c r="H723" s="7"/>
      <c r="I723" s="7"/>
    </row>
    <row r="724">
      <c r="D724" s="7"/>
      <c r="E724" s="7"/>
      <c r="F724" s="7"/>
      <c r="G724" s="7"/>
      <c r="H724" s="7"/>
      <c r="I724" s="7"/>
    </row>
    <row r="725">
      <c r="D725" s="7"/>
      <c r="E725" s="7"/>
      <c r="F725" s="7"/>
      <c r="G725" s="7"/>
      <c r="H725" s="7"/>
      <c r="I725" s="7"/>
    </row>
    <row r="726">
      <c r="D726" s="7"/>
      <c r="E726" s="7"/>
      <c r="F726" s="7"/>
      <c r="G726" s="7"/>
      <c r="H726" s="7"/>
      <c r="I726" s="7"/>
    </row>
    <row r="727">
      <c r="D727" s="7"/>
      <c r="E727" s="7"/>
      <c r="F727" s="7"/>
      <c r="G727" s="7"/>
      <c r="H727" s="7"/>
      <c r="I727" s="7"/>
    </row>
    <row r="728">
      <c r="D728" s="7"/>
      <c r="E728" s="7"/>
      <c r="F728" s="7"/>
      <c r="G728" s="7"/>
      <c r="H728" s="7"/>
      <c r="I728" s="7"/>
    </row>
    <row r="729">
      <c r="D729" s="7"/>
      <c r="E729" s="7"/>
      <c r="F729" s="7"/>
      <c r="G729" s="7"/>
      <c r="H729" s="7"/>
      <c r="I729" s="7"/>
    </row>
    <row r="730">
      <c r="D730" s="7"/>
      <c r="E730" s="7"/>
      <c r="F730" s="7"/>
      <c r="G730" s="7"/>
      <c r="H730" s="7"/>
      <c r="I730" s="7"/>
    </row>
    <row r="731">
      <c r="D731" s="7"/>
      <c r="E731" s="7"/>
      <c r="F731" s="7"/>
      <c r="G731" s="7"/>
      <c r="H731" s="7"/>
      <c r="I731" s="7"/>
    </row>
    <row r="732">
      <c r="D732" s="7"/>
      <c r="E732" s="7"/>
      <c r="F732" s="7"/>
      <c r="G732" s="7"/>
      <c r="H732" s="7"/>
      <c r="I732" s="7"/>
    </row>
    <row r="733">
      <c r="D733" s="7"/>
      <c r="E733" s="7"/>
      <c r="F733" s="7"/>
      <c r="G733" s="7"/>
      <c r="H733" s="7"/>
      <c r="I733" s="7"/>
    </row>
    <row r="734">
      <c r="D734" s="7"/>
      <c r="E734" s="7"/>
      <c r="F734" s="7"/>
      <c r="G734" s="7"/>
      <c r="H734" s="7"/>
      <c r="I734" s="7"/>
    </row>
    <row r="735">
      <c r="D735" s="7"/>
      <c r="E735" s="7"/>
      <c r="F735" s="7"/>
      <c r="G735" s="7"/>
      <c r="H735" s="7"/>
      <c r="I735" s="7"/>
    </row>
    <row r="736">
      <c r="D736" s="7"/>
      <c r="E736" s="7"/>
      <c r="F736" s="7"/>
      <c r="G736" s="7"/>
      <c r="H736" s="7"/>
      <c r="I736" s="7"/>
    </row>
    <row r="737">
      <c r="D737" s="7"/>
      <c r="E737" s="7"/>
      <c r="F737" s="7"/>
      <c r="G737" s="7"/>
      <c r="H737" s="7"/>
      <c r="I737" s="7"/>
    </row>
    <row r="738">
      <c r="D738" s="7"/>
      <c r="E738" s="7"/>
      <c r="F738" s="7"/>
      <c r="G738" s="7"/>
      <c r="H738" s="7"/>
      <c r="I738" s="7"/>
    </row>
    <row r="739">
      <c r="D739" s="7"/>
      <c r="E739" s="7"/>
      <c r="F739" s="7"/>
      <c r="G739" s="7"/>
      <c r="H739" s="7"/>
      <c r="I739" s="7"/>
    </row>
    <row r="740">
      <c r="D740" s="7"/>
      <c r="E740" s="7"/>
      <c r="F740" s="7"/>
      <c r="G740" s="7"/>
      <c r="H740" s="7"/>
      <c r="I740" s="7"/>
    </row>
    <row r="741">
      <c r="D741" s="7"/>
      <c r="E741" s="7"/>
      <c r="F741" s="7"/>
      <c r="G741" s="7"/>
      <c r="H741" s="7"/>
      <c r="I741" s="7"/>
    </row>
    <row r="742">
      <c r="D742" s="7"/>
      <c r="E742" s="7"/>
      <c r="F742" s="7"/>
      <c r="G742" s="7"/>
      <c r="H742" s="7"/>
      <c r="I742" s="7"/>
    </row>
    <row r="743">
      <c r="D743" s="7"/>
      <c r="E743" s="7"/>
      <c r="F743" s="7"/>
      <c r="G743" s="7"/>
      <c r="H743" s="7"/>
      <c r="I743" s="7"/>
    </row>
    <row r="744">
      <c r="D744" s="7"/>
      <c r="E744" s="7"/>
      <c r="F744" s="7"/>
      <c r="G744" s="7"/>
      <c r="H744" s="7"/>
      <c r="I744" s="7"/>
    </row>
    <row r="745">
      <c r="D745" s="7"/>
      <c r="E745" s="7"/>
      <c r="F745" s="7"/>
      <c r="G745" s="7"/>
      <c r="H745" s="7"/>
      <c r="I745" s="7"/>
    </row>
    <row r="746">
      <c r="D746" s="7"/>
      <c r="E746" s="7"/>
      <c r="F746" s="7"/>
      <c r="G746" s="7"/>
      <c r="H746" s="7"/>
      <c r="I746" s="7"/>
    </row>
    <row r="747">
      <c r="D747" s="7"/>
      <c r="E747" s="7"/>
      <c r="F747" s="7"/>
      <c r="G747" s="7"/>
      <c r="H747" s="7"/>
      <c r="I747" s="7"/>
    </row>
    <row r="748">
      <c r="D748" s="7"/>
      <c r="E748" s="7"/>
      <c r="F748" s="7"/>
      <c r="G748" s="7"/>
      <c r="H748" s="7"/>
      <c r="I748" s="7"/>
    </row>
    <row r="749">
      <c r="D749" s="7"/>
      <c r="E749" s="7"/>
      <c r="F749" s="7"/>
      <c r="G749" s="7"/>
      <c r="H749" s="7"/>
      <c r="I749" s="7"/>
    </row>
    <row r="750">
      <c r="D750" s="7"/>
      <c r="E750" s="7"/>
      <c r="F750" s="7"/>
      <c r="G750" s="7"/>
      <c r="H750" s="7"/>
      <c r="I750" s="7"/>
    </row>
    <row r="751">
      <c r="D751" s="7"/>
      <c r="E751" s="7"/>
      <c r="F751" s="7"/>
      <c r="G751" s="7"/>
      <c r="H751" s="7"/>
      <c r="I751" s="7"/>
    </row>
    <row r="752">
      <c r="D752" s="7"/>
      <c r="E752" s="7"/>
      <c r="F752" s="7"/>
      <c r="G752" s="7"/>
      <c r="H752" s="7"/>
      <c r="I752" s="7"/>
    </row>
    <row r="753">
      <c r="D753" s="7"/>
      <c r="E753" s="7"/>
      <c r="F753" s="7"/>
      <c r="G753" s="7"/>
      <c r="H753" s="7"/>
      <c r="I753" s="7"/>
    </row>
    <row r="754">
      <c r="D754" s="7"/>
      <c r="E754" s="7"/>
      <c r="F754" s="7"/>
      <c r="G754" s="7"/>
      <c r="H754" s="7"/>
      <c r="I754" s="7"/>
    </row>
    <row r="755">
      <c r="D755" s="7"/>
      <c r="E755" s="7"/>
      <c r="F755" s="7"/>
      <c r="G755" s="7"/>
      <c r="H755" s="7"/>
      <c r="I755" s="7"/>
    </row>
    <row r="756">
      <c r="D756" s="7"/>
      <c r="E756" s="7"/>
      <c r="F756" s="7"/>
      <c r="G756" s="7"/>
      <c r="H756" s="7"/>
      <c r="I756" s="7"/>
    </row>
    <row r="757">
      <c r="D757" s="7"/>
      <c r="E757" s="7"/>
      <c r="F757" s="7"/>
      <c r="G757" s="7"/>
      <c r="H757" s="7"/>
      <c r="I757" s="7"/>
    </row>
    <row r="758">
      <c r="D758" s="7"/>
      <c r="E758" s="7"/>
      <c r="F758" s="7"/>
      <c r="G758" s="7"/>
      <c r="H758" s="7"/>
      <c r="I758" s="7"/>
    </row>
    <row r="759">
      <c r="D759" s="7"/>
      <c r="E759" s="7"/>
      <c r="F759" s="7"/>
      <c r="G759" s="7"/>
      <c r="H759" s="7"/>
      <c r="I759" s="7"/>
    </row>
    <row r="760">
      <c r="D760" s="7"/>
      <c r="E760" s="7"/>
      <c r="F760" s="7"/>
      <c r="G760" s="7"/>
      <c r="H760" s="7"/>
      <c r="I760" s="7"/>
    </row>
    <row r="761">
      <c r="D761" s="7"/>
      <c r="E761" s="7"/>
      <c r="F761" s="7"/>
      <c r="G761" s="7"/>
      <c r="H761" s="7"/>
      <c r="I761" s="7"/>
    </row>
    <row r="762">
      <c r="D762" s="7"/>
      <c r="E762" s="7"/>
      <c r="F762" s="7"/>
      <c r="G762" s="7"/>
      <c r="H762" s="7"/>
      <c r="I762" s="7"/>
    </row>
    <row r="763">
      <c r="D763" s="7"/>
      <c r="E763" s="7"/>
      <c r="F763" s="7"/>
      <c r="G763" s="7"/>
      <c r="H763" s="7"/>
      <c r="I763" s="7"/>
    </row>
    <row r="764">
      <c r="D764" s="7"/>
      <c r="E764" s="7"/>
      <c r="F764" s="7"/>
      <c r="G764" s="7"/>
      <c r="H764" s="7"/>
      <c r="I764" s="7"/>
    </row>
    <row r="765">
      <c r="D765" s="7"/>
      <c r="E765" s="7"/>
      <c r="F765" s="7"/>
      <c r="G765" s="7"/>
      <c r="H765" s="7"/>
      <c r="I765" s="7"/>
    </row>
    <row r="766">
      <c r="D766" s="7"/>
      <c r="E766" s="7"/>
      <c r="F766" s="7"/>
      <c r="G766" s="7"/>
      <c r="H766" s="7"/>
      <c r="I766" s="7"/>
    </row>
    <row r="767">
      <c r="D767" s="7"/>
      <c r="E767" s="7"/>
      <c r="F767" s="7"/>
      <c r="G767" s="7"/>
      <c r="H767" s="7"/>
      <c r="I767" s="7"/>
    </row>
    <row r="768">
      <c r="D768" s="7"/>
      <c r="E768" s="7"/>
      <c r="F768" s="7"/>
      <c r="G768" s="7"/>
      <c r="H768" s="7"/>
      <c r="I768" s="7"/>
    </row>
    <row r="769">
      <c r="D769" s="7"/>
      <c r="E769" s="7"/>
      <c r="F769" s="7"/>
      <c r="G769" s="7"/>
      <c r="H769" s="7"/>
      <c r="I769" s="7"/>
    </row>
    <row r="770">
      <c r="D770" s="7"/>
      <c r="E770" s="7"/>
      <c r="F770" s="7"/>
      <c r="G770" s="7"/>
      <c r="H770" s="7"/>
      <c r="I770" s="7"/>
    </row>
    <row r="771">
      <c r="D771" s="7"/>
      <c r="E771" s="7"/>
      <c r="F771" s="7"/>
      <c r="G771" s="7"/>
      <c r="H771" s="7"/>
      <c r="I771" s="7"/>
    </row>
    <row r="772">
      <c r="D772" s="7"/>
      <c r="E772" s="7"/>
      <c r="F772" s="7"/>
      <c r="G772" s="7"/>
      <c r="H772" s="7"/>
      <c r="I772" s="7"/>
    </row>
    <row r="773">
      <c r="D773" s="7"/>
      <c r="E773" s="7"/>
      <c r="F773" s="7"/>
      <c r="G773" s="7"/>
      <c r="H773" s="7"/>
      <c r="I773" s="7"/>
    </row>
    <row r="774">
      <c r="D774" s="7"/>
      <c r="E774" s="7"/>
      <c r="F774" s="7"/>
      <c r="G774" s="7"/>
      <c r="H774" s="7"/>
      <c r="I774" s="7"/>
    </row>
    <row r="775">
      <c r="D775" s="7"/>
      <c r="E775" s="7"/>
      <c r="F775" s="7"/>
      <c r="G775" s="7"/>
      <c r="H775" s="7"/>
      <c r="I775" s="7"/>
    </row>
    <row r="776">
      <c r="D776" s="7"/>
      <c r="E776" s="7"/>
      <c r="F776" s="7"/>
      <c r="G776" s="7"/>
      <c r="H776" s="7"/>
      <c r="I776" s="7"/>
    </row>
    <row r="777">
      <c r="D777" s="7"/>
      <c r="E777" s="7"/>
      <c r="F777" s="7"/>
      <c r="G777" s="7"/>
      <c r="H777" s="7"/>
      <c r="I777" s="7"/>
    </row>
    <row r="778">
      <c r="D778" s="7"/>
      <c r="E778" s="7"/>
      <c r="F778" s="7"/>
      <c r="G778" s="7"/>
      <c r="H778" s="7"/>
      <c r="I778" s="7"/>
    </row>
    <row r="779">
      <c r="D779" s="7"/>
      <c r="E779" s="7"/>
      <c r="F779" s="7"/>
      <c r="G779" s="7"/>
      <c r="H779" s="7"/>
      <c r="I779" s="7"/>
    </row>
    <row r="780">
      <c r="D780" s="7"/>
      <c r="E780" s="7"/>
      <c r="F780" s="7"/>
      <c r="G780" s="7"/>
      <c r="H780" s="7"/>
      <c r="I780" s="7"/>
    </row>
    <row r="781">
      <c r="D781" s="7"/>
      <c r="E781" s="7"/>
      <c r="F781" s="7"/>
      <c r="G781" s="7"/>
      <c r="H781" s="7"/>
      <c r="I781" s="7"/>
    </row>
    <row r="782">
      <c r="D782" s="7"/>
      <c r="E782" s="7"/>
      <c r="F782" s="7"/>
      <c r="G782" s="7"/>
      <c r="H782" s="7"/>
      <c r="I782" s="7"/>
    </row>
    <row r="783">
      <c r="D783" s="7"/>
      <c r="E783" s="7"/>
      <c r="F783" s="7"/>
      <c r="G783" s="7"/>
      <c r="H783" s="7"/>
      <c r="I783" s="7"/>
    </row>
    <row r="784">
      <c r="D784" s="7"/>
      <c r="E784" s="7"/>
      <c r="F784" s="7"/>
      <c r="G784" s="7"/>
      <c r="H784" s="7"/>
      <c r="I784" s="7"/>
    </row>
    <row r="785">
      <c r="D785" s="7"/>
      <c r="E785" s="7"/>
      <c r="F785" s="7"/>
      <c r="G785" s="7"/>
      <c r="H785" s="7"/>
      <c r="I785" s="7"/>
    </row>
    <row r="786">
      <c r="D786" s="7"/>
      <c r="E786" s="7"/>
      <c r="F786" s="7"/>
      <c r="G786" s="7"/>
      <c r="H786" s="7"/>
      <c r="I786" s="7"/>
    </row>
    <row r="787">
      <c r="D787" s="7"/>
      <c r="E787" s="7"/>
      <c r="F787" s="7"/>
      <c r="G787" s="7"/>
      <c r="H787" s="7"/>
      <c r="I787" s="7"/>
    </row>
    <row r="788">
      <c r="D788" s="7"/>
      <c r="E788" s="7"/>
      <c r="F788" s="7"/>
      <c r="G788" s="7"/>
      <c r="H788" s="7"/>
      <c r="I788" s="7"/>
    </row>
    <row r="789">
      <c r="D789" s="7"/>
      <c r="E789" s="7"/>
      <c r="F789" s="7"/>
      <c r="G789" s="7"/>
      <c r="H789" s="7"/>
      <c r="I789" s="7"/>
    </row>
    <row r="790">
      <c r="D790" s="7"/>
      <c r="E790" s="7"/>
      <c r="F790" s="7"/>
      <c r="G790" s="7"/>
      <c r="H790" s="7"/>
      <c r="I790" s="7"/>
    </row>
    <row r="791">
      <c r="D791" s="7"/>
      <c r="E791" s="7"/>
      <c r="F791" s="7"/>
      <c r="G791" s="7"/>
      <c r="H791" s="7"/>
      <c r="I791" s="7"/>
    </row>
    <row r="792">
      <c r="D792" s="7"/>
      <c r="E792" s="7"/>
      <c r="F792" s="7"/>
      <c r="G792" s="7"/>
      <c r="H792" s="7"/>
      <c r="I792" s="7"/>
    </row>
    <row r="793">
      <c r="D793" s="7"/>
      <c r="E793" s="7"/>
      <c r="F793" s="7"/>
      <c r="G793" s="7"/>
      <c r="H793" s="7"/>
      <c r="I793" s="7"/>
    </row>
    <row r="794">
      <c r="D794" s="7"/>
      <c r="E794" s="7"/>
      <c r="F794" s="7"/>
      <c r="G794" s="7"/>
      <c r="H794" s="7"/>
      <c r="I794" s="7"/>
    </row>
    <row r="795">
      <c r="D795" s="7"/>
      <c r="E795" s="7"/>
      <c r="F795" s="7"/>
      <c r="G795" s="7"/>
      <c r="H795" s="7"/>
      <c r="I795" s="7"/>
    </row>
    <row r="796">
      <c r="D796" s="7"/>
      <c r="E796" s="7"/>
      <c r="F796" s="7"/>
      <c r="G796" s="7"/>
      <c r="H796" s="7"/>
      <c r="I796" s="7"/>
    </row>
    <row r="797">
      <c r="D797" s="7"/>
      <c r="E797" s="7"/>
      <c r="F797" s="7"/>
      <c r="G797" s="7"/>
      <c r="H797" s="7"/>
      <c r="I797" s="7"/>
    </row>
    <row r="798">
      <c r="D798" s="7"/>
      <c r="E798" s="7"/>
      <c r="F798" s="7"/>
      <c r="G798" s="7"/>
      <c r="H798" s="7"/>
      <c r="I798" s="7"/>
    </row>
    <row r="799">
      <c r="D799" s="7"/>
      <c r="E799" s="7"/>
      <c r="F799" s="7"/>
      <c r="G799" s="7"/>
      <c r="H799" s="7"/>
      <c r="I799" s="7"/>
    </row>
    <row r="800">
      <c r="D800" s="7"/>
      <c r="E800" s="7"/>
      <c r="F800" s="7"/>
      <c r="G800" s="7"/>
      <c r="H800" s="7"/>
      <c r="I800" s="7"/>
    </row>
    <row r="801">
      <c r="D801" s="7"/>
      <c r="E801" s="7"/>
      <c r="F801" s="7"/>
      <c r="G801" s="7"/>
      <c r="H801" s="7"/>
      <c r="I801" s="7"/>
    </row>
    <row r="802">
      <c r="D802" s="7"/>
      <c r="E802" s="7"/>
      <c r="F802" s="7"/>
      <c r="G802" s="7"/>
      <c r="H802" s="7"/>
      <c r="I802" s="7"/>
    </row>
    <row r="803">
      <c r="D803" s="7"/>
      <c r="E803" s="7"/>
      <c r="F803" s="7"/>
      <c r="G803" s="7"/>
      <c r="H803" s="7"/>
      <c r="I803" s="7"/>
    </row>
    <row r="804">
      <c r="D804" s="7"/>
      <c r="E804" s="7"/>
      <c r="F804" s="7"/>
      <c r="G804" s="7"/>
      <c r="H804" s="7"/>
      <c r="I804" s="7"/>
    </row>
    <row r="805">
      <c r="D805" s="7"/>
      <c r="E805" s="7"/>
      <c r="F805" s="7"/>
      <c r="G805" s="7"/>
      <c r="H805" s="7"/>
      <c r="I805" s="7"/>
    </row>
    <row r="806">
      <c r="D806" s="7"/>
      <c r="E806" s="7"/>
      <c r="F806" s="7"/>
      <c r="G806" s="7"/>
      <c r="H806" s="7"/>
      <c r="I806" s="7"/>
    </row>
    <row r="807">
      <c r="D807" s="7"/>
      <c r="E807" s="7"/>
      <c r="F807" s="7"/>
      <c r="G807" s="7"/>
      <c r="H807" s="7"/>
      <c r="I807" s="7"/>
    </row>
    <row r="808">
      <c r="D808" s="7"/>
      <c r="E808" s="7"/>
      <c r="F808" s="7"/>
      <c r="G808" s="7"/>
      <c r="H808" s="7"/>
      <c r="I808" s="7"/>
    </row>
    <row r="809">
      <c r="D809" s="7"/>
      <c r="E809" s="7"/>
      <c r="F809" s="7"/>
      <c r="G809" s="7"/>
      <c r="H809" s="7"/>
      <c r="I809" s="7"/>
    </row>
    <row r="810">
      <c r="D810" s="7"/>
      <c r="E810" s="7"/>
      <c r="F810" s="7"/>
      <c r="G810" s="7"/>
      <c r="H810" s="7"/>
      <c r="I810" s="7"/>
    </row>
    <row r="811">
      <c r="D811" s="7"/>
      <c r="E811" s="7"/>
      <c r="F811" s="7"/>
      <c r="G811" s="7"/>
      <c r="H811" s="7"/>
      <c r="I811" s="7"/>
    </row>
    <row r="812">
      <c r="D812" s="7"/>
      <c r="E812" s="7"/>
      <c r="F812" s="7"/>
      <c r="G812" s="7"/>
      <c r="H812" s="7"/>
      <c r="I812" s="7"/>
    </row>
    <row r="813">
      <c r="D813" s="7"/>
      <c r="E813" s="7"/>
      <c r="F813" s="7"/>
      <c r="G813" s="7"/>
      <c r="H813" s="7"/>
      <c r="I813" s="7"/>
    </row>
    <row r="814">
      <c r="D814" s="7"/>
      <c r="E814" s="7"/>
      <c r="F814" s="7"/>
      <c r="G814" s="7"/>
      <c r="H814" s="7"/>
      <c r="I814" s="7"/>
    </row>
    <row r="815">
      <c r="D815" s="7"/>
      <c r="E815" s="7"/>
      <c r="F815" s="7"/>
      <c r="G815" s="7"/>
      <c r="H815" s="7"/>
      <c r="I815" s="7"/>
    </row>
    <row r="816">
      <c r="D816" s="7"/>
      <c r="E816" s="7"/>
      <c r="F816" s="7"/>
      <c r="G816" s="7"/>
      <c r="H816" s="7"/>
      <c r="I816" s="7"/>
    </row>
    <row r="817">
      <c r="D817" s="7"/>
      <c r="E817" s="7"/>
      <c r="F817" s="7"/>
      <c r="G817" s="7"/>
      <c r="H817" s="7"/>
      <c r="I817" s="7"/>
    </row>
    <row r="818">
      <c r="D818" s="7"/>
      <c r="E818" s="7"/>
      <c r="F818" s="7"/>
      <c r="G818" s="7"/>
      <c r="H818" s="7"/>
      <c r="I818" s="7"/>
    </row>
    <row r="819">
      <c r="D819" s="7"/>
      <c r="E819" s="7"/>
      <c r="F819" s="7"/>
      <c r="G819" s="7"/>
      <c r="H819" s="7"/>
      <c r="I819" s="7"/>
    </row>
    <row r="820">
      <c r="D820" s="7"/>
      <c r="E820" s="7"/>
      <c r="F820" s="7"/>
      <c r="G820" s="7"/>
      <c r="H820" s="7"/>
      <c r="I820" s="7"/>
    </row>
    <row r="821">
      <c r="D821" s="7"/>
      <c r="E821" s="7"/>
      <c r="F821" s="7"/>
      <c r="G821" s="7"/>
      <c r="H821" s="7"/>
      <c r="I821" s="7"/>
    </row>
    <row r="822">
      <c r="D822" s="7"/>
      <c r="E822" s="7"/>
      <c r="F822" s="7"/>
      <c r="G822" s="7"/>
      <c r="H822" s="7"/>
      <c r="I822" s="7"/>
    </row>
    <row r="823">
      <c r="D823" s="7"/>
      <c r="E823" s="7"/>
      <c r="F823" s="7"/>
      <c r="G823" s="7"/>
      <c r="H823" s="7"/>
      <c r="I823" s="7"/>
    </row>
    <row r="824">
      <c r="D824" s="7"/>
      <c r="E824" s="7"/>
      <c r="F824" s="7"/>
      <c r="G824" s="7"/>
      <c r="H824" s="7"/>
      <c r="I824" s="7"/>
    </row>
    <row r="825">
      <c r="D825" s="7"/>
      <c r="E825" s="7"/>
      <c r="F825" s="7"/>
      <c r="G825" s="7"/>
      <c r="H825" s="7"/>
      <c r="I825" s="7"/>
    </row>
    <row r="826">
      <c r="D826" s="7"/>
      <c r="E826" s="7"/>
      <c r="F826" s="7"/>
      <c r="G826" s="7"/>
      <c r="H826" s="7"/>
      <c r="I826" s="7"/>
    </row>
    <row r="827">
      <c r="D827" s="7"/>
      <c r="E827" s="7"/>
      <c r="F827" s="7"/>
      <c r="G827" s="7"/>
      <c r="H827" s="7"/>
      <c r="I827" s="7"/>
    </row>
    <row r="828">
      <c r="D828" s="7"/>
      <c r="E828" s="7"/>
      <c r="F828" s="7"/>
      <c r="G828" s="7"/>
      <c r="H828" s="7"/>
      <c r="I828" s="7"/>
    </row>
    <row r="829">
      <c r="D829" s="7"/>
      <c r="E829" s="7"/>
      <c r="F829" s="7"/>
      <c r="G829" s="7"/>
      <c r="H829" s="7"/>
      <c r="I829" s="7"/>
    </row>
    <row r="830">
      <c r="D830" s="7"/>
      <c r="E830" s="7"/>
      <c r="F830" s="7"/>
      <c r="G830" s="7"/>
      <c r="H830" s="7"/>
      <c r="I830" s="7"/>
    </row>
    <row r="831">
      <c r="D831" s="7"/>
      <c r="E831" s="7"/>
      <c r="F831" s="7"/>
      <c r="G831" s="7"/>
      <c r="H831" s="7"/>
      <c r="I831" s="7"/>
    </row>
    <row r="832">
      <c r="D832" s="7"/>
      <c r="E832" s="7"/>
      <c r="F832" s="7"/>
      <c r="G832" s="7"/>
      <c r="H832" s="7"/>
      <c r="I832" s="7"/>
    </row>
    <row r="833">
      <c r="D833" s="7"/>
      <c r="E833" s="7"/>
      <c r="F833" s="7"/>
      <c r="G833" s="7"/>
      <c r="H833" s="7"/>
      <c r="I833" s="7"/>
    </row>
    <row r="834">
      <c r="D834" s="7"/>
      <c r="E834" s="7"/>
      <c r="F834" s="7"/>
      <c r="G834" s="7"/>
      <c r="H834" s="7"/>
      <c r="I834" s="7"/>
    </row>
    <row r="835">
      <c r="D835" s="7"/>
      <c r="E835" s="7"/>
      <c r="F835" s="7"/>
      <c r="G835" s="7"/>
      <c r="H835" s="7"/>
      <c r="I835" s="7"/>
    </row>
    <row r="836">
      <c r="D836" s="7"/>
      <c r="E836" s="7"/>
      <c r="F836" s="7"/>
      <c r="G836" s="7"/>
      <c r="H836" s="7"/>
      <c r="I836" s="7"/>
    </row>
    <row r="837">
      <c r="D837" s="7"/>
      <c r="E837" s="7"/>
      <c r="F837" s="7"/>
      <c r="G837" s="7"/>
      <c r="H837" s="7"/>
      <c r="I837" s="7"/>
    </row>
    <row r="838">
      <c r="D838" s="7"/>
      <c r="E838" s="7"/>
      <c r="F838" s="7"/>
      <c r="G838" s="7"/>
      <c r="H838" s="7"/>
      <c r="I838" s="7"/>
    </row>
    <row r="839">
      <c r="D839" s="7"/>
      <c r="E839" s="7"/>
      <c r="F839" s="7"/>
      <c r="G839" s="7"/>
      <c r="H839" s="7"/>
      <c r="I839" s="7"/>
    </row>
    <row r="840">
      <c r="D840" s="7"/>
      <c r="E840" s="7"/>
      <c r="F840" s="7"/>
      <c r="G840" s="7"/>
      <c r="H840" s="7"/>
      <c r="I840" s="7"/>
    </row>
    <row r="841">
      <c r="D841" s="7"/>
      <c r="E841" s="7"/>
      <c r="F841" s="7"/>
      <c r="G841" s="7"/>
      <c r="H841" s="7"/>
      <c r="I841" s="7"/>
    </row>
    <row r="842">
      <c r="D842" s="7"/>
      <c r="E842" s="7"/>
      <c r="F842" s="7"/>
      <c r="G842" s="7"/>
      <c r="H842" s="7"/>
      <c r="I842" s="7"/>
    </row>
    <row r="843">
      <c r="D843" s="7"/>
      <c r="E843" s="7"/>
      <c r="F843" s="7"/>
      <c r="G843" s="7"/>
      <c r="H843" s="7"/>
      <c r="I843" s="7"/>
    </row>
    <row r="844">
      <c r="D844" s="7"/>
      <c r="E844" s="7"/>
      <c r="F844" s="7"/>
      <c r="G844" s="7"/>
      <c r="H844" s="7"/>
      <c r="I844" s="7"/>
    </row>
    <row r="845">
      <c r="D845" s="7"/>
      <c r="E845" s="7"/>
      <c r="F845" s="7"/>
      <c r="G845" s="7"/>
      <c r="H845" s="7"/>
      <c r="I845" s="7"/>
    </row>
    <row r="846">
      <c r="D846" s="7"/>
      <c r="E846" s="7"/>
      <c r="F846" s="7"/>
      <c r="G846" s="7"/>
      <c r="H846" s="7"/>
      <c r="I846" s="7"/>
    </row>
    <row r="847">
      <c r="D847" s="7"/>
      <c r="E847" s="7"/>
      <c r="F847" s="7"/>
      <c r="G847" s="7"/>
      <c r="H847" s="7"/>
      <c r="I847" s="7"/>
    </row>
    <row r="848">
      <c r="D848" s="7"/>
      <c r="E848" s="7"/>
      <c r="F848" s="7"/>
      <c r="G848" s="7"/>
      <c r="H848" s="7"/>
      <c r="I848" s="7"/>
    </row>
    <row r="849">
      <c r="D849" s="7"/>
      <c r="E849" s="7"/>
      <c r="F849" s="7"/>
      <c r="G849" s="7"/>
      <c r="H849" s="7"/>
      <c r="I849" s="7"/>
    </row>
    <row r="850">
      <c r="D850" s="7"/>
      <c r="E850" s="7"/>
      <c r="F850" s="7"/>
      <c r="G850" s="7"/>
      <c r="H850" s="7"/>
      <c r="I850" s="7"/>
    </row>
    <row r="851">
      <c r="D851" s="7"/>
      <c r="E851" s="7"/>
      <c r="F851" s="7"/>
      <c r="G851" s="7"/>
      <c r="H851" s="7"/>
      <c r="I851" s="7"/>
    </row>
    <row r="852">
      <c r="D852" s="7"/>
      <c r="E852" s="7"/>
      <c r="F852" s="7"/>
      <c r="G852" s="7"/>
      <c r="H852" s="7"/>
      <c r="I852" s="7"/>
    </row>
    <row r="853">
      <c r="D853" s="7"/>
      <c r="E853" s="7"/>
      <c r="F853" s="7"/>
      <c r="G853" s="7"/>
      <c r="H853" s="7"/>
      <c r="I853" s="7"/>
    </row>
    <row r="854">
      <c r="D854" s="7"/>
      <c r="E854" s="7"/>
      <c r="F854" s="7"/>
      <c r="G854" s="7"/>
      <c r="H854" s="7"/>
      <c r="I854" s="7"/>
    </row>
    <row r="855">
      <c r="D855" s="7"/>
      <c r="E855" s="7"/>
      <c r="F855" s="7"/>
      <c r="G855" s="7"/>
      <c r="H855" s="7"/>
      <c r="I855" s="7"/>
    </row>
    <row r="856">
      <c r="D856" s="7"/>
      <c r="E856" s="7"/>
      <c r="F856" s="7"/>
      <c r="G856" s="7"/>
      <c r="H856" s="7"/>
      <c r="I856" s="7"/>
    </row>
    <row r="857">
      <c r="D857" s="7"/>
      <c r="E857" s="7"/>
      <c r="F857" s="7"/>
      <c r="G857" s="7"/>
      <c r="H857" s="7"/>
      <c r="I857" s="7"/>
    </row>
    <row r="858">
      <c r="D858" s="7"/>
      <c r="E858" s="7"/>
      <c r="F858" s="7"/>
      <c r="G858" s="7"/>
      <c r="H858" s="7"/>
      <c r="I858" s="7"/>
    </row>
    <row r="859">
      <c r="D859" s="7"/>
      <c r="E859" s="7"/>
      <c r="F859" s="7"/>
      <c r="G859" s="7"/>
      <c r="H859" s="7"/>
      <c r="I859" s="7"/>
    </row>
    <row r="860">
      <c r="D860" s="7"/>
      <c r="E860" s="7"/>
      <c r="F860" s="7"/>
      <c r="G860" s="7"/>
      <c r="H860" s="7"/>
      <c r="I860" s="7"/>
    </row>
    <row r="861">
      <c r="D861" s="7"/>
      <c r="E861" s="7"/>
      <c r="F861" s="7"/>
      <c r="G861" s="7"/>
      <c r="H861" s="7"/>
      <c r="I861" s="7"/>
    </row>
    <row r="862">
      <c r="D862" s="7"/>
      <c r="E862" s="7"/>
      <c r="F862" s="7"/>
      <c r="G862" s="7"/>
      <c r="H862" s="7"/>
      <c r="I862" s="7"/>
    </row>
    <row r="863">
      <c r="D863" s="7"/>
      <c r="E863" s="7"/>
      <c r="F863" s="7"/>
      <c r="G863" s="7"/>
      <c r="H863" s="7"/>
      <c r="I863" s="7"/>
    </row>
    <row r="864">
      <c r="D864" s="7"/>
      <c r="E864" s="7"/>
      <c r="F864" s="7"/>
      <c r="G864" s="7"/>
      <c r="H864" s="7"/>
      <c r="I864" s="7"/>
    </row>
    <row r="865">
      <c r="D865" s="7"/>
      <c r="E865" s="7"/>
      <c r="F865" s="7"/>
      <c r="G865" s="7"/>
      <c r="H865" s="7"/>
      <c r="I865" s="7"/>
    </row>
    <row r="866">
      <c r="D866" s="7"/>
      <c r="E866" s="7"/>
      <c r="F866" s="7"/>
      <c r="G866" s="7"/>
      <c r="H866" s="7"/>
      <c r="I866" s="7"/>
    </row>
    <row r="867">
      <c r="D867" s="7"/>
      <c r="E867" s="7"/>
      <c r="F867" s="7"/>
      <c r="G867" s="7"/>
      <c r="H867" s="7"/>
      <c r="I867" s="7"/>
    </row>
    <row r="868">
      <c r="D868" s="7"/>
      <c r="E868" s="7"/>
      <c r="F868" s="7"/>
      <c r="G868" s="7"/>
      <c r="H868" s="7"/>
      <c r="I868" s="7"/>
    </row>
    <row r="869">
      <c r="D869" s="7"/>
      <c r="E869" s="7"/>
      <c r="F869" s="7"/>
      <c r="G869" s="7"/>
      <c r="H869" s="7"/>
      <c r="I869" s="7"/>
    </row>
    <row r="870">
      <c r="D870" s="7"/>
      <c r="E870" s="7"/>
      <c r="F870" s="7"/>
      <c r="G870" s="7"/>
      <c r="H870" s="7"/>
      <c r="I870" s="7"/>
    </row>
    <row r="871">
      <c r="D871" s="7"/>
      <c r="E871" s="7"/>
      <c r="F871" s="7"/>
      <c r="G871" s="7"/>
      <c r="H871" s="7"/>
      <c r="I871" s="7"/>
    </row>
    <row r="872">
      <c r="D872" s="7"/>
      <c r="E872" s="7"/>
      <c r="F872" s="7"/>
      <c r="G872" s="7"/>
      <c r="H872" s="7"/>
      <c r="I872" s="7"/>
    </row>
    <row r="873">
      <c r="D873" s="7"/>
      <c r="E873" s="7"/>
      <c r="F873" s="7"/>
      <c r="G873" s="7"/>
      <c r="H873" s="7"/>
      <c r="I873" s="7"/>
    </row>
    <row r="874">
      <c r="D874" s="7"/>
      <c r="E874" s="7"/>
      <c r="F874" s="7"/>
      <c r="G874" s="7"/>
      <c r="H874" s="7"/>
      <c r="I874" s="7"/>
    </row>
    <row r="875">
      <c r="D875" s="7"/>
      <c r="E875" s="7"/>
      <c r="F875" s="7"/>
      <c r="G875" s="7"/>
      <c r="H875" s="7"/>
      <c r="I875" s="7"/>
    </row>
    <row r="876">
      <c r="D876" s="7"/>
      <c r="E876" s="7"/>
      <c r="F876" s="7"/>
      <c r="G876" s="7"/>
      <c r="H876" s="7"/>
      <c r="I876" s="7"/>
    </row>
    <row r="877">
      <c r="D877" s="7"/>
      <c r="E877" s="7"/>
      <c r="F877" s="7"/>
      <c r="G877" s="7"/>
      <c r="H877" s="7"/>
      <c r="I877" s="7"/>
    </row>
    <row r="878">
      <c r="D878" s="7"/>
      <c r="E878" s="7"/>
      <c r="F878" s="7"/>
      <c r="G878" s="7"/>
      <c r="H878" s="7"/>
      <c r="I878" s="7"/>
    </row>
    <row r="879">
      <c r="D879" s="7"/>
      <c r="E879" s="7"/>
      <c r="F879" s="7"/>
      <c r="G879" s="7"/>
      <c r="H879" s="7"/>
      <c r="I879" s="7"/>
    </row>
    <row r="880">
      <c r="D880" s="7"/>
      <c r="E880" s="7"/>
      <c r="F880" s="7"/>
      <c r="G880" s="7"/>
      <c r="H880" s="7"/>
      <c r="I880" s="7"/>
    </row>
    <row r="881">
      <c r="D881" s="7"/>
      <c r="E881" s="7"/>
      <c r="F881" s="7"/>
      <c r="G881" s="7"/>
      <c r="H881" s="7"/>
      <c r="I881" s="7"/>
    </row>
    <row r="882">
      <c r="D882" s="7"/>
      <c r="E882" s="7"/>
      <c r="F882" s="7"/>
      <c r="G882" s="7"/>
      <c r="H882" s="7"/>
      <c r="I882" s="7"/>
    </row>
    <row r="883">
      <c r="D883" s="7"/>
      <c r="E883" s="7"/>
      <c r="F883" s="7"/>
      <c r="G883" s="7"/>
      <c r="H883" s="7"/>
      <c r="I883" s="7"/>
    </row>
    <row r="884">
      <c r="D884" s="7"/>
      <c r="E884" s="7"/>
      <c r="F884" s="7"/>
      <c r="G884" s="7"/>
      <c r="H884" s="7"/>
      <c r="I884" s="7"/>
    </row>
    <row r="885">
      <c r="D885" s="7"/>
      <c r="E885" s="7"/>
      <c r="F885" s="7"/>
      <c r="G885" s="7"/>
      <c r="H885" s="7"/>
      <c r="I885" s="7"/>
    </row>
    <row r="886">
      <c r="D886" s="7"/>
      <c r="E886" s="7"/>
      <c r="F886" s="7"/>
      <c r="G886" s="7"/>
      <c r="H886" s="7"/>
      <c r="I886" s="7"/>
    </row>
    <row r="887">
      <c r="D887" s="7"/>
      <c r="E887" s="7"/>
      <c r="F887" s="7"/>
      <c r="G887" s="7"/>
      <c r="H887" s="7"/>
      <c r="I887" s="7"/>
    </row>
    <row r="888">
      <c r="D888" s="7"/>
      <c r="E888" s="7"/>
      <c r="F888" s="7"/>
      <c r="G888" s="7"/>
      <c r="H888" s="7"/>
      <c r="I888" s="7"/>
    </row>
    <row r="889">
      <c r="D889" s="7"/>
      <c r="E889" s="7"/>
      <c r="F889" s="7"/>
      <c r="G889" s="7"/>
      <c r="H889" s="7"/>
      <c r="I889" s="7"/>
    </row>
    <row r="890">
      <c r="D890" s="7"/>
      <c r="E890" s="7"/>
      <c r="F890" s="7"/>
      <c r="G890" s="7"/>
      <c r="H890" s="7"/>
      <c r="I890" s="7"/>
    </row>
    <row r="891">
      <c r="D891" s="7"/>
      <c r="E891" s="7"/>
      <c r="F891" s="7"/>
      <c r="G891" s="7"/>
      <c r="H891" s="7"/>
      <c r="I891" s="7"/>
    </row>
    <row r="892">
      <c r="D892" s="7"/>
      <c r="E892" s="7"/>
      <c r="F892" s="7"/>
      <c r="G892" s="7"/>
      <c r="H892" s="7"/>
      <c r="I892" s="7"/>
    </row>
    <row r="893">
      <c r="D893" s="7"/>
      <c r="E893" s="7"/>
      <c r="F893" s="7"/>
      <c r="G893" s="7"/>
      <c r="H893" s="7"/>
      <c r="I893" s="7"/>
    </row>
    <row r="894">
      <c r="D894" s="7"/>
      <c r="E894" s="7"/>
      <c r="F894" s="7"/>
      <c r="G894" s="7"/>
      <c r="H894" s="7"/>
      <c r="I894" s="7"/>
    </row>
    <row r="895">
      <c r="D895" s="7"/>
      <c r="E895" s="7"/>
      <c r="F895" s="7"/>
      <c r="G895" s="7"/>
      <c r="H895" s="7"/>
      <c r="I895" s="7"/>
    </row>
    <row r="896">
      <c r="D896" s="7"/>
      <c r="E896" s="7"/>
      <c r="F896" s="7"/>
      <c r="G896" s="7"/>
      <c r="H896" s="7"/>
      <c r="I896" s="7"/>
    </row>
    <row r="897">
      <c r="D897" s="7"/>
      <c r="E897" s="7"/>
      <c r="F897" s="7"/>
      <c r="G897" s="7"/>
      <c r="H897" s="7"/>
      <c r="I897" s="7"/>
    </row>
    <row r="898">
      <c r="D898" s="7"/>
      <c r="E898" s="7"/>
      <c r="F898" s="7"/>
      <c r="G898" s="7"/>
      <c r="H898" s="7"/>
      <c r="I898" s="7"/>
    </row>
    <row r="899">
      <c r="D899" s="7"/>
      <c r="E899" s="7"/>
      <c r="F899" s="7"/>
      <c r="G899" s="7"/>
      <c r="H899" s="7"/>
      <c r="I899" s="7"/>
    </row>
    <row r="900">
      <c r="D900" s="7"/>
      <c r="E900" s="7"/>
      <c r="F900" s="7"/>
      <c r="G900" s="7"/>
      <c r="H900" s="7"/>
      <c r="I900" s="7"/>
    </row>
    <row r="901">
      <c r="D901" s="7"/>
      <c r="E901" s="7"/>
      <c r="F901" s="7"/>
      <c r="G901" s="7"/>
      <c r="H901" s="7"/>
      <c r="I901" s="7"/>
    </row>
    <row r="902">
      <c r="D902" s="7"/>
      <c r="E902" s="7"/>
      <c r="F902" s="7"/>
      <c r="G902" s="7"/>
      <c r="H902" s="7"/>
      <c r="I902" s="7"/>
    </row>
    <row r="903">
      <c r="D903" s="7"/>
      <c r="E903" s="7"/>
      <c r="F903" s="7"/>
      <c r="G903" s="7"/>
      <c r="H903" s="7"/>
      <c r="I903" s="7"/>
    </row>
    <row r="904">
      <c r="D904" s="7"/>
      <c r="E904" s="7"/>
      <c r="F904" s="7"/>
      <c r="G904" s="7"/>
      <c r="H904" s="7"/>
      <c r="I904" s="7"/>
    </row>
    <row r="905">
      <c r="D905" s="7"/>
      <c r="E905" s="7"/>
      <c r="F905" s="7"/>
      <c r="G905" s="7"/>
      <c r="H905" s="7"/>
      <c r="I905" s="7"/>
    </row>
    <row r="906">
      <c r="D906" s="7"/>
      <c r="E906" s="7"/>
      <c r="F906" s="7"/>
      <c r="G906" s="7"/>
      <c r="H906" s="7"/>
      <c r="I906" s="7"/>
    </row>
    <row r="907">
      <c r="D907" s="7"/>
      <c r="E907" s="7"/>
      <c r="F907" s="7"/>
      <c r="G907" s="7"/>
      <c r="H907" s="7"/>
      <c r="I907" s="7"/>
    </row>
    <row r="908">
      <c r="D908" s="7"/>
      <c r="E908" s="7"/>
      <c r="F908" s="7"/>
      <c r="G908" s="7"/>
      <c r="H908" s="7"/>
      <c r="I908" s="7"/>
    </row>
    <row r="909">
      <c r="D909" s="7"/>
      <c r="E909" s="7"/>
      <c r="F909" s="7"/>
      <c r="G909" s="7"/>
      <c r="H909" s="7"/>
      <c r="I909" s="7"/>
    </row>
    <row r="910">
      <c r="D910" s="7"/>
      <c r="E910" s="7"/>
      <c r="F910" s="7"/>
      <c r="G910" s="7"/>
      <c r="H910" s="7"/>
      <c r="I910" s="7"/>
    </row>
    <row r="911">
      <c r="D911" s="7"/>
      <c r="E911" s="7"/>
      <c r="F911" s="7"/>
      <c r="G911" s="7"/>
      <c r="H911" s="7"/>
      <c r="I911" s="7"/>
    </row>
    <row r="912">
      <c r="D912" s="7"/>
      <c r="E912" s="7"/>
      <c r="F912" s="7"/>
      <c r="G912" s="7"/>
      <c r="H912" s="7"/>
      <c r="I912" s="7"/>
    </row>
    <row r="913">
      <c r="D913" s="7"/>
      <c r="E913" s="7"/>
      <c r="F913" s="7"/>
      <c r="G913" s="7"/>
      <c r="H913" s="7"/>
      <c r="I913" s="7"/>
    </row>
    <row r="914">
      <c r="D914" s="7"/>
      <c r="E914" s="7"/>
      <c r="F914" s="7"/>
      <c r="G914" s="7"/>
      <c r="H914" s="7"/>
      <c r="I914" s="7"/>
    </row>
    <row r="915">
      <c r="D915" s="7"/>
      <c r="E915" s="7"/>
      <c r="F915" s="7"/>
      <c r="G915" s="7"/>
      <c r="H915" s="7"/>
      <c r="I915" s="7"/>
    </row>
    <row r="916">
      <c r="D916" s="7"/>
      <c r="E916" s="7"/>
      <c r="F916" s="7"/>
      <c r="G916" s="7"/>
      <c r="H916" s="7"/>
      <c r="I916" s="7"/>
    </row>
    <row r="917">
      <c r="D917" s="7"/>
      <c r="E917" s="7"/>
      <c r="F917" s="7"/>
      <c r="G917" s="7"/>
      <c r="H917" s="7"/>
      <c r="I917" s="7"/>
    </row>
    <row r="918">
      <c r="D918" s="7"/>
      <c r="E918" s="7"/>
      <c r="F918" s="7"/>
      <c r="G918" s="7"/>
      <c r="H918" s="7"/>
      <c r="I918" s="7"/>
    </row>
    <row r="919">
      <c r="D919" s="7"/>
      <c r="E919" s="7"/>
      <c r="F919" s="7"/>
      <c r="G919" s="7"/>
      <c r="H919" s="7"/>
      <c r="I919" s="7"/>
    </row>
    <row r="920">
      <c r="D920" s="7"/>
      <c r="E920" s="7"/>
      <c r="F920" s="7"/>
      <c r="G920" s="7"/>
      <c r="H920" s="7"/>
      <c r="I920" s="7"/>
    </row>
    <row r="921">
      <c r="D921" s="7"/>
      <c r="E921" s="7"/>
      <c r="F921" s="7"/>
      <c r="G921" s="7"/>
      <c r="H921" s="7"/>
      <c r="I921" s="7"/>
    </row>
    <row r="922">
      <c r="D922" s="7"/>
      <c r="E922" s="7"/>
      <c r="F922" s="7"/>
      <c r="G922" s="7"/>
      <c r="H922" s="7"/>
      <c r="I922" s="7"/>
    </row>
    <row r="923">
      <c r="D923" s="7"/>
      <c r="E923" s="7"/>
      <c r="F923" s="7"/>
      <c r="G923" s="7"/>
      <c r="H923" s="7"/>
      <c r="I923" s="7"/>
    </row>
    <row r="924">
      <c r="D924" s="7"/>
      <c r="E924" s="7"/>
      <c r="F924" s="7"/>
      <c r="G924" s="7"/>
      <c r="H924" s="7"/>
      <c r="I924" s="7"/>
    </row>
    <row r="925">
      <c r="D925" s="7"/>
      <c r="E925" s="7"/>
      <c r="F925" s="7"/>
      <c r="G925" s="7"/>
      <c r="H925" s="7"/>
      <c r="I925" s="7"/>
    </row>
    <row r="926">
      <c r="D926" s="7"/>
      <c r="E926" s="7"/>
      <c r="F926" s="7"/>
      <c r="G926" s="7"/>
      <c r="H926" s="7"/>
      <c r="I926" s="7"/>
    </row>
    <row r="927">
      <c r="D927" s="7"/>
      <c r="E927" s="7"/>
      <c r="F927" s="7"/>
      <c r="G927" s="7"/>
      <c r="H927" s="7"/>
      <c r="I927" s="7"/>
    </row>
    <row r="928">
      <c r="D928" s="7"/>
      <c r="E928" s="7"/>
      <c r="F928" s="7"/>
      <c r="G928" s="7"/>
      <c r="H928" s="7"/>
      <c r="I928" s="7"/>
    </row>
    <row r="929">
      <c r="D929" s="7"/>
      <c r="E929" s="7"/>
      <c r="F929" s="7"/>
      <c r="G929" s="7"/>
      <c r="H929" s="7"/>
      <c r="I929" s="7"/>
    </row>
    <row r="930">
      <c r="D930" s="7"/>
      <c r="E930" s="7"/>
      <c r="F930" s="7"/>
      <c r="G930" s="7"/>
      <c r="H930" s="7"/>
      <c r="I930" s="7"/>
    </row>
    <row r="931">
      <c r="D931" s="7"/>
      <c r="E931" s="7"/>
      <c r="F931" s="7"/>
      <c r="G931" s="7"/>
      <c r="H931" s="7"/>
      <c r="I931" s="7"/>
    </row>
    <row r="932">
      <c r="D932" s="7"/>
      <c r="E932" s="7"/>
      <c r="F932" s="7"/>
      <c r="G932" s="7"/>
      <c r="H932" s="7"/>
      <c r="I932" s="7"/>
    </row>
    <row r="933">
      <c r="D933" s="7"/>
      <c r="E933" s="7"/>
      <c r="F933" s="7"/>
      <c r="G933" s="7"/>
      <c r="H933" s="7"/>
      <c r="I933" s="7"/>
    </row>
    <row r="934">
      <c r="D934" s="7"/>
      <c r="E934" s="7"/>
      <c r="F934" s="7"/>
      <c r="G934" s="7"/>
      <c r="H934" s="7"/>
      <c r="I934" s="7"/>
    </row>
    <row r="935">
      <c r="D935" s="7"/>
      <c r="E935" s="7"/>
      <c r="F935" s="7"/>
      <c r="G935" s="7"/>
      <c r="H935" s="7"/>
      <c r="I935" s="7"/>
    </row>
    <row r="936">
      <c r="D936" s="7"/>
      <c r="E936" s="7"/>
      <c r="F936" s="7"/>
      <c r="G936" s="7"/>
      <c r="H936" s="7"/>
      <c r="I936" s="7"/>
    </row>
    <row r="937">
      <c r="D937" s="7"/>
      <c r="E937" s="7"/>
      <c r="F937" s="7"/>
      <c r="G937" s="7"/>
      <c r="H937" s="7"/>
      <c r="I937" s="7"/>
    </row>
    <row r="938">
      <c r="D938" s="7"/>
      <c r="E938" s="7"/>
      <c r="F938" s="7"/>
      <c r="G938" s="7"/>
      <c r="H938" s="7"/>
      <c r="I938" s="7"/>
    </row>
    <row r="939">
      <c r="D939" s="7"/>
      <c r="E939" s="7"/>
      <c r="F939" s="7"/>
      <c r="G939" s="7"/>
      <c r="H939" s="7"/>
      <c r="I939" s="7"/>
    </row>
    <row r="940">
      <c r="D940" s="7"/>
      <c r="E940" s="7"/>
      <c r="F940" s="7"/>
      <c r="G940" s="7"/>
      <c r="H940" s="7"/>
      <c r="I940" s="7"/>
    </row>
    <row r="941">
      <c r="D941" s="7"/>
      <c r="E941" s="7"/>
      <c r="F941" s="7"/>
      <c r="G941" s="7"/>
      <c r="H941" s="7"/>
      <c r="I941" s="7"/>
    </row>
    <row r="942">
      <c r="D942" s="7"/>
      <c r="E942" s="7"/>
      <c r="F942" s="7"/>
      <c r="G942" s="7"/>
      <c r="H942" s="7"/>
      <c r="I942" s="7"/>
    </row>
    <row r="943">
      <c r="D943" s="7"/>
      <c r="E943" s="7"/>
      <c r="F943" s="7"/>
      <c r="G943" s="7"/>
      <c r="H943" s="7"/>
      <c r="I943" s="7"/>
    </row>
    <row r="944">
      <c r="D944" s="7"/>
      <c r="E944" s="7"/>
      <c r="F944" s="7"/>
      <c r="G944" s="7"/>
      <c r="H944" s="7"/>
      <c r="I944" s="7"/>
    </row>
    <row r="945">
      <c r="D945" s="7"/>
      <c r="E945" s="7"/>
      <c r="F945" s="7"/>
      <c r="G945" s="7"/>
      <c r="H945" s="7"/>
      <c r="I945" s="7"/>
    </row>
    <row r="946">
      <c r="D946" s="7"/>
      <c r="E946" s="7"/>
      <c r="F946" s="7"/>
      <c r="G946" s="7"/>
      <c r="H946" s="7"/>
      <c r="I946" s="7"/>
    </row>
    <row r="947">
      <c r="D947" s="7"/>
      <c r="E947" s="7"/>
      <c r="F947" s="7"/>
      <c r="G947" s="7"/>
      <c r="H947" s="7"/>
      <c r="I947" s="7"/>
    </row>
    <row r="948">
      <c r="D948" s="7"/>
      <c r="E948" s="7"/>
      <c r="F948" s="7"/>
      <c r="G948" s="7"/>
      <c r="H948" s="7"/>
      <c r="I948" s="7"/>
    </row>
    <row r="949">
      <c r="D949" s="7"/>
      <c r="E949" s="7"/>
      <c r="F949" s="7"/>
      <c r="G949" s="7"/>
      <c r="H949" s="7"/>
      <c r="I949" s="7"/>
    </row>
    <row r="950">
      <c r="D950" s="7"/>
      <c r="E950" s="7"/>
      <c r="F950" s="7"/>
      <c r="G950" s="7"/>
      <c r="H950" s="7"/>
      <c r="I950" s="7"/>
    </row>
    <row r="951">
      <c r="D951" s="7"/>
      <c r="E951" s="7"/>
      <c r="F951" s="7"/>
      <c r="G951" s="7"/>
      <c r="H951" s="7"/>
      <c r="I951" s="7"/>
    </row>
    <row r="952">
      <c r="D952" s="7"/>
      <c r="E952" s="7"/>
      <c r="F952" s="7"/>
      <c r="G952" s="7"/>
      <c r="H952" s="7"/>
      <c r="I952" s="7"/>
    </row>
    <row r="953">
      <c r="D953" s="7"/>
      <c r="E953" s="7"/>
      <c r="F953" s="7"/>
      <c r="G953" s="7"/>
      <c r="H953" s="7"/>
      <c r="I953" s="7"/>
    </row>
    <row r="954">
      <c r="D954" s="7"/>
      <c r="E954" s="7"/>
      <c r="F954" s="7"/>
      <c r="G954" s="7"/>
      <c r="H954" s="7"/>
      <c r="I954" s="7"/>
    </row>
    <row r="955">
      <c r="D955" s="7"/>
      <c r="E955" s="7"/>
      <c r="F955" s="7"/>
      <c r="G955" s="7"/>
      <c r="H955" s="7"/>
      <c r="I955" s="7"/>
    </row>
    <row r="956">
      <c r="D956" s="7"/>
      <c r="E956" s="7"/>
      <c r="F956" s="7"/>
      <c r="G956" s="7"/>
      <c r="H956" s="7"/>
      <c r="I956" s="7"/>
    </row>
    <row r="957">
      <c r="D957" s="7"/>
      <c r="E957" s="7"/>
      <c r="F957" s="7"/>
      <c r="G957" s="7"/>
      <c r="H957" s="7"/>
      <c r="I957" s="7"/>
    </row>
    <row r="958">
      <c r="D958" s="7"/>
      <c r="E958" s="7"/>
      <c r="F958" s="7"/>
      <c r="G958" s="7"/>
      <c r="H958" s="7"/>
      <c r="I958" s="7"/>
    </row>
    <row r="959">
      <c r="D959" s="7"/>
      <c r="E959" s="7"/>
      <c r="F959" s="7"/>
      <c r="G959" s="7"/>
      <c r="H959" s="7"/>
      <c r="I959" s="7"/>
    </row>
    <row r="960">
      <c r="D960" s="7"/>
      <c r="E960" s="7"/>
      <c r="F960" s="7"/>
      <c r="G960" s="7"/>
      <c r="H960" s="7"/>
      <c r="I960" s="7"/>
    </row>
    <row r="961">
      <c r="D961" s="7"/>
      <c r="E961" s="7"/>
      <c r="F961" s="7"/>
      <c r="G961" s="7"/>
      <c r="H961" s="7"/>
      <c r="I961" s="7"/>
    </row>
    <row r="962">
      <c r="D962" s="7"/>
      <c r="E962" s="7"/>
      <c r="F962" s="7"/>
      <c r="G962" s="7"/>
      <c r="H962" s="7"/>
      <c r="I962" s="7"/>
    </row>
    <row r="963">
      <c r="D963" s="7"/>
      <c r="E963" s="7"/>
      <c r="F963" s="7"/>
      <c r="G963" s="7"/>
      <c r="H963" s="7"/>
      <c r="I963" s="7"/>
    </row>
    <row r="964">
      <c r="D964" s="7"/>
      <c r="E964" s="7"/>
      <c r="F964" s="7"/>
      <c r="G964" s="7"/>
      <c r="H964" s="7"/>
      <c r="I964" s="7"/>
    </row>
    <row r="965">
      <c r="D965" s="7"/>
      <c r="E965" s="7"/>
      <c r="F965" s="7"/>
      <c r="G965" s="7"/>
      <c r="H965" s="7"/>
      <c r="I965" s="7"/>
    </row>
    <row r="966">
      <c r="D966" s="7"/>
      <c r="E966" s="7"/>
      <c r="F966" s="7"/>
      <c r="G966" s="7"/>
      <c r="H966" s="7"/>
      <c r="I966" s="7"/>
    </row>
    <row r="967">
      <c r="D967" s="7"/>
      <c r="E967" s="7"/>
      <c r="F967" s="7"/>
      <c r="G967" s="7"/>
      <c r="H967" s="7"/>
      <c r="I967" s="7"/>
    </row>
    <row r="968">
      <c r="D968" s="7"/>
      <c r="E968" s="7"/>
      <c r="F968" s="7"/>
      <c r="G968" s="7"/>
      <c r="H968" s="7"/>
      <c r="I968" s="7"/>
    </row>
    <row r="969">
      <c r="D969" s="7"/>
      <c r="E969" s="7"/>
      <c r="F969" s="7"/>
      <c r="G969" s="7"/>
      <c r="H969" s="7"/>
      <c r="I969" s="7"/>
    </row>
    <row r="970">
      <c r="D970" s="7"/>
      <c r="E970" s="7"/>
      <c r="F970" s="7"/>
      <c r="G970" s="7"/>
      <c r="H970" s="7"/>
      <c r="I970" s="7"/>
    </row>
    <row r="971">
      <c r="D971" s="7"/>
      <c r="E971" s="7"/>
      <c r="F971" s="7"/>
      <c r="G971" s="7"/>
      <c r="H971" s="7"/>
      <c r="I971" s="7"/>
    </row>
    <row r="972">
      <c r="D972" s="7"/>
      <c r="E972" s="7"/>
      <c r="F972" s="7"/>
      <c r="G972" s="7"/>
      <c r="H972" s="7"/>
      <c r="I972" s="7"/>
    </row>
    <row r="973">
      <c r="D973" s="7"/>
      <c r="E973" s="7"/>
      <c r="F973" s="7"/>
      <c r="G973" s="7"/>
      <c r="H973" s="7"/>
      <c r="I973" s="7"/>
    </row>
    <row r="974">
      <c r="D974" s="7"/>
      <c r="E974" s="7"/>
      <c r="F974" s="7"/>
      <c r="G974" s="7"/>
      <c r="H974" s="7"/>
      <c r="I974" s="7"/>
    </row>
    <row r="975">
      <c r="D975" s="7"/>
      <c r="E975" s="7"/>
      <c r="F975" s="7"/>
      <c r="G975" s="7"/>
      <c r="H975" s="7"/>
      <c r="I975" s="7"/>
    </row>
    <row r="976">
      <c r="D976" s="7"/>
      <c r="E976" s="7"/>
      <c r="F976" s="7"/>
      <c r="G976" s="7"/>
      <c r="H976" s="7"/>
      <c r="I976" s="7"/>
    </row>
    <row r="977">
      <c r="D977" s="7"/>
      <c r="E977" s="7"/>
      <c r="F977" s="7"/>
      <c r="G977" s="7"/>
      <c r="H977" s="7"/>
      <c r="I977" s="7"/>
    </row>
    <row r="978">
      <c r="D978" s="7"/>
      <c r="E978" s="7"/>
      <c r="F978" s="7"/>
      <c r="G978" s="7"/>
      <c r="H978" s="7"/>
      <c r="I978" s="7"/>
    </row>
    <row r="979">
      <c r="D979" s="7"/>
      <c r="E979" s="7"/>
      <c r="F979" s="7"/>
      <c r="G979" s="7"/>
      <c r="H979" s="7"/>
      <c r="I979" s="7"/>
    </row>
    <row r="980">
      <c r="D980" s="7"/>
      <c r="E980" s="7"/>
      <c r="F980" s="7"/>
      <c r="G980" s="7"/>
      <c r="H980" s="7"/>
      <c r="I980" s="7"/>
    </row>
    <row r="981">
      <c r="D981" s="7"/>
      <c r="E981" s="7"/>
      <c r="F981" s="7"/>
      <c r="G981" s="7"/>
      <c r="H981" s="7"/>
      <c r="I981" s="7"/>
    </row>
    <row r="982">
      <c r="D982" s="7"/>
      <c r="E982" s="7"/>
      <c r="F982" s="7"/>
      <c r="G982" s="7"/>
      <c r="H982" s="7"/>
      <c r="I982" s="7"/>
    </row>
    <row r="983">
      <c r="D983" s="7"/>
      <c r="E983" s="7"/>
      <c r="F983" s="7"/>
      <c r="G983" s="7"/>
      <c r="H983" s="7"/>
      <c r="I983" s="7"/>
    </row>
    <row r="984">
      <c r="D984" s="7"/>
      <c r="E984" s="7"/>
      <c r="F984" s="7"/>
      <c r="G984" s="7"/>
      <c r="H984" s="7"/>
      <c r="I984" s="7"/>
    </row>
    <row r="985">
      <c r="D985" s="7"/>
      <c r="E985" s="7"/>
      <c r="F985" s="7"/>
      <c r="G985" s="7"/>
      <c r="H985" s="7"/>
      <c r="I985" s="7"/>
    </row>
    <row r="986">
      <c r="D986" s="7"/>
      <c r="E986" s="7"/>
      <c r="F986" s="7"/>
      <c r="G986" s="7"/>
      <c r="H986" s="7"/>
      <c r="I986" s="7"/>
    </row>
    <row r="987">
      <c r="D987" s="7"/>
      <c r="E987" s="7"/>
      <c r="F987" s="7"/>
      <c r="G987" s="7"/>
      <c r="H987" s="7"/>
      <c r="I987" s="7"/>
    </row>
    <row r="988">
      <c r="D988" s="7"/>
      <c r="E988" s="7"/>
      <c r="F988" s="7"/>
      <c r="G988" s="7"/>
      <c r="H988" s="7"/>
      <c r="I988" s="7"/>
    </row>
    <row r="989">
      <c r="D989" s="7"/>
      <c r="E989" s="7"/>
      <c r="F989" s="7"/>
      <c r="G989" s="7"/>
      <c r="H989" s="7"/>
      <c r="I989" s="7"/>
    </row>
    <row r="990">
      <c r="D990" s="7"/>
      <c r="E990" s="7"/>
      <c r="F990" s="7"/>
      <c r="G990" s="7"/>
      <c r="H990" s="7"/>
      <c r="I990" s="7"/>
    </row>
    <row r="991">
      <c r="D991" s="7"/>
      <c r="E991" s="7"/>
      <c r="F991" s="7"/>
      <c r="G991" s="7"/>
      <c r="H991" s="7"/>
      <c r="I991" s="7"/>
    </row>
    <row r="992">
      <c r="D992" s="7"/>
      <c r="E992" s="7"/>
      <c r="F992" s="7"/>
      <c r="G992" s="7"/>
      <c r="H992" s="7"/>
      <c r="I992" s="7"/>
    </row>
    <row r="993">
      <c r="D993" s="7"/>
      <c r="E993" s="7"/>
      <c r="F993" s="7"/>
      <c r="G993" s="7"/>
      <c r="H993" s="7"/>
      <c r="I993" s="7"/>
    </row>
    <row r="994">
      <c r="D994" s="7"/>
      <c r="E994" s="7"/>
      <c r="F994" s="7"/>
      <c r="G994" s="7"/>
      <c r="H994" s="7"/>
      <c r="I994" s="7"/>
    </row>
    <row r="995">
      <c r="D995" s="7"/>
      <c r="E995" s="7"/>
      <c r="F995" s="7"/>
      <c r="G995" s="7"/>
      <c r="H995" s="7"/>
      <c r="I995" s="7"/>
    </row>
    <row r="996">
      <c r="D996" s="7"/>
      <c r="E996" s="7"/>
      <c r="F996" s="7"/>
      <c r="G996" s="7"/>
      <c r="H996" s="7"/>
      <c r="I996" s="7"/>
    </row>
    <row r="997">
      <c r="D997" s="7"/>
      <c r="E997" s="7"/>
      <c r="F997" s="7"/>
      <c r="G997" s="7"/>
      <c r="H997" s="7"/>
      <c r="I997" s="7"/>
    </row>
    <row r="998">
      <c r="D998" s="7"/>
      <c r="E998" s="7"/>
      <c r="F998" s="7"/>
      <c r="G998" s="7"/>
      <c r="H998" s="7"/>
      <c r="I998" s="7"/>
    </row>
    <row r="999">
      <c r="D999" s="7"/>
      <c r="E999" s="7"/>
      <c r="F999" s="7"/>
      <c r="G999" s="7"/>
      <c r="H999" s="7"/>
      <c r="I999" s="7"/>
    </row>
    <row r="1000">
      <c r="D1000" s="7"/>
      <c r="E1000" s="7"/>
      <c r="F1000" s="7"/>
      <c r="G1000" s="7"/>
      <c r="H1000" s="7"/>
      <c r="I1000" s="7"/>
    </row>
  </sheetData>
  <autoFilter ref="$A$1:$O$3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9">
      <c r="A9" s="1" t="s">
        <v>37</v>
      </c>
    </row>
    <row r="10"/>
    <row r="11"/>
    <row r="12"/>
    <row r="13"/>
    <row r="14"/>
    <row r="18">
      <c r="A18" s="1" t="s">
        <v>38</v>
      </c>
    </row>
    <row r="19"/>
    <row r="20"/>
    <row r="21"/>
    <row r="22"/>
    <row r="23"/>
    <row r="26">
      <c r="A26" s="1" t="s">
        <v>39</v>
      </c>
    </row>
    <row r="27"/>
    <row r="28"/>
    <row r="29"/>
    <row r="30"/>
    <row r="31"/>
  </sheetData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17.38"/>
  </cols>
  <sheetData>
    <row r="1">
      <c r="A1" s="1" t="s">
        <v>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>
      <c r="A2" s="1" t="s">
        <v>42</v>
      </c>
      <c r="B2" s="1" t="s">
        <v>22</v>
      </c>
      <c r="C2" s="1">
        <v>16.0</v>
      </c>
      <c r="D2" s="1">
        <v>0.8571</v>
      </c>
      <c r="E2" s="1">
        <v>1.0</v>
      </c>
      <c r="F2" s="1">
        <v>0.9231</v>
      </c>
      <c r="G2" s="10">
        <v>1.0</v>
      </c>
      <c r="H2" s="1">
        <v>6.0</v>
      </c>
      <c r="I2" s="1">
        <v>1.0</v>
      </c>
      <c r="J2" s="1">
        <v>9.0</v>
      </c>
      <c r="K2" s="1">
        <v>0.0</v>
      </c>
      <c r="L2" s="1">
        <v>0.9375</v>
      </c>
      <c r="M2" s="1">
        <v>0.9677</v>
      </c>
    </row>
    <row r="3">
      <c r="A3" s="1" t="s">
        <v>43</v>
      </c>
      <c r="B3" s="1" t="s">
        <v>22</v>
      </c>
      <c r="C3" s="1">
        <v>194.0</v>
      </c>
      <c r="D3" s="1">
        <v>0.7885</v>
      </c>
      <c r="E3" s="1">
        <v>0.8913</v>
      </c>
      <c r="F3" s="1">
        <v>0.8367</v>
      </c>
      <c r="G3" s="10">
        <v>2.0</v>
      </c>
      <c r="H3" s="1">
        <v>41.0</v>
      </c>
      <c r="I3" s="1">
        <v>11.0</v>
      </c>
      <c r="J3" s="1">
        <v>137.0</v>
      </c>
      <c r="K3" s="1">
        <v>5.0</v>
      </c>
      <c r="L3" s="1">
        <v>0.9175</v>
      </c>
      <c r="M3" s="1">
        <v>0.8686</v>
      </c>
    </row>
    <row r="4">
      <c r="A4" s="1" t="s">
        <v>44</v>
      </c>
      <c r="B4" s="1" t="s">
        <v>22</v>
      </c>
      <c r="C4" s="1">
        <v>65.0</v>
      </c>
      <c r="D4" s="1">
        <v>0.8</v>
      </c>
      <c r="E4" s="1">
        <v>0.8571</v>
      </c>
      <c r="F4" s="1">
        <v>0.8276</v>
      </c>
      <c r="G4" s="10">
        <v>3.0</v>
      </c>
      <c r="H4" s="1">
        <v>12.0</v>
      </c>
      <c r="I4" s="1">
        <v>3.0</v>
      </c>
      <c r="J4" s="1">
        <v>48.0</v>
      </c>
      <c r="K4" s="1">
        <v>2.0</v>
      </c>
      <c r="L4" s="1">
        <v>0.9231</v>
      </c>
      <c r="M4" s="1">
        <v>0.8451</v>
      </c>
    </row>
    <row r="5">
      <c r="A5" s="1" t="s">
        <v>45</v>
      </c>
      <c r="B5" s="1" t="s">
        <v>22</v>
      </c>
      <c r="C5" s="1">
        <v>49.0</v>
      </c>
      <c r="D5" s="1">
        <v>0.7143</v>
      </c>
      <c r="E5" s="1">
        <v>0.9091</v>
      </c>
      <c r="F5" s="1">
        <v>0.8</v>
      </c>
      <c r="G5" s="10">
        <v>4.0</v>
      </c>
      <c r="H5" s="1">
        <v>10.0</v>
      </c>
      <c r="I5" s="1">
        <v>4.0</v>
      </c>
      <c r="J5" s="1">
        <v>34.0</v>
      </c>
      <c r="K5" s="1">
        <v>1.0</v>
      </c>
      <c r="L5" s="1">
        <v>0.898</v>
      </c>
      <c r="M5" s="1">
        <v>0.8621</v>
      </c>
    </row>
    <row r="6">
      <c r="A6" s="1" t="s">
        <v>46</v>
      </c>
      <c r="B6" s="1" t="s">
        <v>22</v>
      </c>
      <c r="C6" s="1">
        <v>89.0</v>
      </c>
      <c r="D6" s="1">
        <v>0.8</v>
      </c>
      <c r="E6" s="1">
        <v>0.8</v>
      </c>
      <c r="F6" s="1">
        <v>0.8</v>
      </c>
      <c r="G6" s="10">
        <v>5.0</v>
      </c>
      <c r="H6" s="1">
        <v>4.0</v>
      </c>
      <c r="I6" s="1">
        <v>1.0</v>
      </c>
      <c r="J6" s="1">
        <v>83.0</v>
      </c>
      <c r="K6" s="1">
        <v>1.0</v>
      </c>
      <c r="L6" s="1">
        <v>0.9775</v>
      </c>
      <c r="M6" s="1">
        <v>0.8</v>
      </c>
    </row>
    <row r="7">
      <c r="A7" s="1" t="s">
        <v>47</v>
      </c>
      <c r="B7" s="1" t="s">
        <v>22</v>
      </c>
      <c r="C7" s="1">
        <v>274.0</v>
      </c>
      <c r="D7" s="1">
        <v>0.6923</v>
      </c>
      <c r="E7" s="1">
        <v>0.9</v>
      </c>
      <c r="F7" s="1">
        <v>0.7826</v>
      </c>
      <c r="G7" s="10">
        <v>6.0</v>
      </c>
      <c r="H7" s="1">
        <v>45.0</v>
      </c>
      <c r="I7" s="1">
        <v>20.0</v>
      </c>
      <c r="J7" s="1">
        <v>204.0</v>
      </c>
      <c r="K7" s="1">
        <v>5.0</v>
      </c>
      <c r="L7" s="1">
        <v>0.9088</v>
      </c>
      <c r="M7" s="1">
        <v>0.8491</v>
      </c>
    </row>
    <row r="8">
      <c r="A8" s="1" t="s">
        <v>48</v>
      </c>
      <c r="B8" s="1" t="s">
        <v>22</v>
      </c>
      <c r="C8" s="1">
        <v>26.0</v>
      </c>
      <c r="D8" s="1">
        <v>1.0</v>
      </c>
      <c r="E8" s="1">
        <v>0.6</v>
      </c>
      <c r="F8" s="1">
        <v>0.75</v>
      </c>
      <c r="G8" s="10">
        <v>7.0</v>
      </c>
      <c r="H8" s="1">
        <v>3.0</v>
      </c>
      <c r="I8" s="1">
        <v>0.0</v>
      </c>
      <c r="J8" s="1">
        <v>21.0</v>
      </c>
      <c r="K8" s="1">
        <v>2.0</v>
      </c>
      <c r="L8" s="1">
        <v>0.9231</v>
      </c>
      <c r="M8" s="1">
        <v>0.6522</v>
      </c>
    </row>
    <row r="9">
      <c r="A9" s="1" t="s">
        <v>49</v>
      </c>
      <c r="B9" s="1" t="s">
        <v>22</v>
      </c>
      <c r="C9" s="1">
        <v>95.0</v>
      </c>
      <c r="D9" s="1">
        <v>0.75</v>
      </c>
      <c r="E9" s="1">
        <v>0.75</v>
      </c>
      <c r="F9" s="1">
        <v>0.75</v>
      </c>
      <c r="G9" s="10">
        <v>8.0</v>
      </c>
      <c r="H9" s="1">
        <v>15.0</v>
      </c>
      <c r="I9" s="1">
        <v>5.0</v>
      </c>
      <c r="J9" s="1">
        <v>70.0</v>
      </c>
      <c r="K9" s="1">
        <v>5.0</v>
      </c>
      <c r="L9" s="1">
        <v>0.8947</v>
      </c>
      <c r="M9" s="1">
        <v>0.75</v>
      </c>
    </row>
    <row r="10">
      <c r="A10" s="1" t="s">
        <v>50</v>
      </c>
      <c r="B10" s="1" t="s">
        <v>22</v>
      </c>
      <c r="C10" s="1">
        <v>679.0</v>
      </c>
      <c r="D10" s="1">
        <v>0.6583</v>
      </c>
      <c r="E10" s="1">
        <v>0.8495</v>
      </c>
      <c r="F10" s="1">
        <v>0.7418</v>
      </c>
      <c r="G10" s="10">
        <v>9.0</v>
      </c>
      <c r="H10" s="1">
        <v>79.0</v>
      </c>
      <c r="I10" s="1">
        <v>41.0</v>
      </c>
      <c r="J10" s="1">
        <v>545.0</v>
      </c>
      <c r="K10" s="1">
        <v>14.0</v>
      </c>
      <c r="L10" s="1">
        <v>0.919</v>
      </c>
      <c r="M10" s="1">
        <v>0.8028</v>
      </c>
    </row>
    <row r="11">
      <c r="A11" s="1" t="s">
        <v>51</v>
      </c>
      <c r="B11" s="1" t="s">
        <v>22</v>
      </c>
      <c r="C11" s="1">
        <v>662.0</v>
      </c>
      <c r="D11" s="1">
        <v>0.6064</v>
      </c>
      <c r="E11" s="1">
        <v>0.8702</v>
      </c>
      <c r="F11" s="1">
        <v>0.7147</v>
      </c>
      <c r="G11" s="10">
        <v>10.0</v>
      </c>
      <c r="H11" s="1">
        <v>114.0</v>
      </c>
      <c r="I11" s="1">
        <v>74.0</v>
      </c>
      <c r="J11" s="1">
        <v>457.0</v>
      </c>
      <c r="K11" s="1">
        <v>17.0</v>
      </c>
      <c r="L11" s="1">
        <v>0.8625</v>
      </c>
      <c r="M11" s="1">
        <v>0.8006</v>
      </c>
    </row>
    <row r="12">
      <c r="A12" s="1" t="s">
        <v>52</v>
      </c>
      <c r="B12" s="1" t="s">
        <v>22</v>
      </c>
      <c r="C12" s="1">
        <v>587.0</v>
      </c>
      <c r="D12" s="1">
        <v>0.64</v>
      </c>
      <c r="E12" s="1">
        <v>0.8</v>
      </c>
      <c r="F12" s="1">
        <v>0.7111</v>
      </c>
      <c r="G12" s="10">
        <v>11.0</v>
      </c>
      <c r="H12" s="1">
        <v>80.0</v>
      </c>
      <c r="I12" s="1">
        <v>45.0</v>
      </c>
      <c r="J12" s="1">
        <v>442.0</v>
      </c>
      <c r="K12" s="1">
        <v>20.0</v>
      </c>
      <c r="L12" s="1">
        <v>0.8893</v>
      </c>
      <c r="M12" s="1">
        <v>0.7619</v>
      </c>
    </row>
    <row r="13">
      <c r="A13" s="1" t="s">
        <v>53</v>
      </c>
      <c r="B13" s="1" t="s">
        <v>22</v>
      </c>
      <c r="C13" s="1">
        <v>897.0</v>
      </c>
      <c r="D13" s="1">
        <v>0.5941</v>
      </c>
      <c r="E13" s="1">
        <v>0.8452</v>
      </c>
      <c r="F13" s="1">
        <v>0.6978</v>
      </c>
      <c r="G13" s="10">
        <v>12.0</v>
      </c>
      <c r="H13" s="1">
        <v>142.0</v>
      </c>
      <c r="I13" s="1">
        <v>97.0</v>
      </c>
      <c r="J13" s="1">
        <v>632.0</v>
      </c>
      <c r="K13" s="1">
        <v>26.0</v>
      </c>
      <c r="L13" s="1">
        <v>0.8629</v>
      </c>
      <c r="M13" s="1">
        <v>0.7794</v>
      </c>
    </row>
    <row r="14">
      <c r="A14" s="1" t="s">
        <v>54</v>
      </c>
      <c r="B14" s="1" t="s">
        <v>22</v>
      </c>
      <c r="C14" s="1">
        <v>49.0</v>
      </c>
      <c r="D14" s="1">
        <v>0.5714</v>
      </c>
      <c r="E14" s="1">
        <v>0.8</v>
      </c>
      <c r="F14" s="1">
        <v>0.6667</v>
      </c>
      <c r="G14" s="10">
        <v>13.0</v>
      </c>
      <c r="H14" s="1">
        <v>4.0</v>
      </c>
      <c r="I14" s="1">
        <v>3.0</v>
      </c>
      <c r="J14" s="1">
        <v>41.0</v>
      </c>
      <c r="K14" s="1">
        <v>1.0</v>
      </c>
      <c r="L14" s="1">
        <v>0.9184</v>
      </c>
      <c r="M14" s="1">
        <v>0.7407</v>
      </c>
    </row>
    <row r="15">
      <c r="A15" s="1" t="s">
        <v>55</v>
      </c>
      <c r="B15" s="1" t="s">
        <v>22</v>
      </c>
      <c r="C15" s="1">
        <v>469.0</v>
      </c>
      <c r="D15" s="1">
        <v>0.5362</v>
      </c>
      <c r="E15" s="1">
        <v>0.8409</v>
      </c>
      <c r="F15" s="1">
        <v>0.6549</v>
      </c>
      <c r="G15" s="10">
        <v>14.0</v>
      </c>
      <c r="H15" s="1">
        <v>37.0</v>
      </c>
      <c r="I15" s="1">
        <v>32.0</v>
      </c>
      <c r="J15" s="1">
        <v>393.0</v>
      </c>
      <c r="K15" s="1">
        <v>7.0</v>
      </c>
      <c r="L15" s="1">
        <v>0.9168</v>
      </c>
      <c r="M15" s="1">
        <v>0.7551</v>
      </c>
    </row>
    <row r="16">
      <c r="A16" s="1" t="s">
        <v>56</v>
      </c>
      <c r="B16" s="1" t="s">
        <v>22</v>
      </c>
      <c r="C16" s="1">
        <v>446.0</v>
      </c>
      <c r="D16" s="1">
        <v>0.6071</v>
      </c>
      <c r="E16" s="1">
        <v>0.7083</v>
      </c>
      <c r="F16" s="1">
        <v>0.6538</v>
      </c>
      <c r="G16" s="10">
        <v>15.0</v>
      </c>
      <c r="H16" s="1">
        <v>34.0</v>
      </c>
      <c r="I16" s="1">
        <v>22.0</v>
      </c>
      <c r="J16" s="1">
        <v>376.0</v>
      </c>
      <c r="K16" s="1">
        <v>14.0</v>
      </c>
      <c r="L16" s="1">
        <v>0.9193</v>
      </c>
      <c r="M16" s="1">
        <v>0.6855</v>
      </c>
    </row>
    <row r="17">
      <c r="A17" s="1" t="s">
        <v>57</v>
      </c>
      <c r="B17" s="1" t="s">
        <v>22</v>
      </c>
      <c r="C17" s="1">
        <v>153.0</v>
      </c>
      <c r="D17" s="1">
        <v>0.5</v>
      </c>
      <c r="E17" s="1">
        <v>0.8</v>
      </c>
      <c r="F17" s="1">
        <v>0.6154</v>
      </c>
      <c r="G17" s="10">
        <v>16.0</v>
      </c>
      <c r="H17" s="1">
        <v>20.0</v>
      </c>
      <c r="I17" s="1">
        <v>20.0</v>
      </c>
      <c r="J17" s="1">
        <v>108.0</v>
      </c>
      <c r="K17" s="1">
        <v>5.0</v>
      </c>
      <c r="L17" s="1">
        <v>0.8366</v>
      </c>
      <c r="M17" s="1">
        <v>0.7143</v>
      </c>
    </row>
    <row r="18">
      <c r="A18" s="1" t="s">
        <v>58</v>
      </c>
      <c r="B18" s="1" t="s">
        <v>22</v>
      </c>
      <c r="C18" s="1">
        <v>117.0</v>
      </c>
      <c r="D18" s="1">
        <v>0.4667</v>
      </c>
      <c r="E18" s="1">
        <v>0.8235</v>
      </c>
      <c r="F18" s="1">
        <v>0.5957</v>
      </c>
      <c r="G18" s="10">
        <v>17.0</v>
      </c>
      <c r="H18" s="1">
        <v>14.0</v>
      </c>
      <c r="I18" s="1">
        <v>16.0</v>
      </c>
      <c r="J18" s="1">
        <v>84.0</v>
      </c>
      <c r="K18" s="1">
        <v>3.0</v>
      </c>
      <c r="L18" s="1">
        <v>0.8376</v>
      </c>
      <c r="M18" s="1">
        <v>0.7143</v>
      </c>
    </row>
    <row r="19">
      <c r="A19" s="1" t="s">
        <v>48</v>
      </c>
      <c r="B19" s="1" t="s">
        <v>27</v>
      </c>
      <c r="C19" s="1">
        <v>26.0</v>
      </c>
      <c r="D19" s="1">
        <v>0.8</v>
      </c>
      <c r="E19" s="1">
        <v>0.8</v>
      </c>
      <c r="F19" s="1">
        <v>0.8</v>
      </c>
      <c r="G19" s="10">
        <v>1.0</v>
      </c>
      <c r="H19" s="1">
        <v>4.0</v>
      </c>
      <c r="I19" s="1">
        <v>1.0</v>
      </c>
      <c r="J19" s="1">
        <v>20.0</v>
      </c>
      <c r="K19" s="1">
        <v>1.0</v>
      </c>
      <c r="L19" s="1">
        <v>0.9231</v>
      </c>
      <c r="M19" s="1">
        <v>0.8</v>
      </c>
    </row>
    <row r="20">
      <c r="A20" s="1" t="s">
        <v>44</v>
      </c>
      <c r="B20" s="1" t="s">
        <v>27</v>
      </c>
      <c r="C20" s="1">
        <v>65.0</v>
      </c>
      <c r="D20" s="1">
        <v>0.9091</v>
      </c>
      <c r="E20" s="1">
        <v>0.7143</v>
      </c>
      <c r="F20" s="1">
        <v>0.8</v>
      </c>
      <c r="G20" s="10">
        <v>2.0</v>
      </c>
      <c r="H20" s="1">
        <v>10.0</v>
      </c>
      <c r="I20" s="1">
        <v>1.0</v>
      </c>
      <c r="J20" s="1">
        <v>50.0</v>
      </c>
      <c r="K20" s="1">
        <v>4.0</v>
      </c>
      <c r="L20" s="1">
        <v>0.9231</v>
      </c>
      <c r="M20" s="1">
        <v>0.7463</v>
      </c>
    </row>
    <row r="21">
      <c r="A21" s="1" t="s">
        <v>45</v>
      </c>
      <c r="B21" s="1" t="s">
        <v>27</v>
      </c>
      <c r="C21" s="1">
        <v>49.0</v>
      </c>
      <c r="D21" s="1">
        <v>0.8</v>
      </c>
      <c r="E21" s="1">
        <v>0.7273</v>
      </c>
      <c r="F21" s="1">
        <v>0.7619</v>
      </c>
      <c r="G21" s="10">
        <v>3.0</v>
      </c>
      <c r="H21" s="1">
        <v>8.0</v>
      </c>
      <c r="I21" s="1">
        <v>2.0</v>
      </c>
      <c r="J21" s="1">
        <v>36.0</v>
      </c>
      <c r="K21" s="1">
        <v>3.0</v>
      </c>
      <c r="L21" s="1">
        <v>0.898</v>
      </c>
      <c r="M21" s="1">
        <v>0.7407</v>
      </c>
    </row>
    <row r="22">
      <c r="A22" s="1" t="s">
        <v>47</v>
      </c>
      <c r="B22" s="1" t="s">
        <v>27</v>
      </c>
      <c r="C22" s="1">
        <v>274.0</v>
      </c>
      <c r="D22" s="1">
        <v>0.6949</v>
      </c>
      <c r="E22" s="1">
        <v>0.82</v>
      </c>
      <c r="F22" s="1">
        <v>0.7523</v>
      </c>
      <c r="G22" s="10">
        <v>4.0</v>
      </c>
      <c r="H22" s="1">
        <v>41.0</v>
      </c>
      <c r="I22" s="1">
        <v>18.0</v>
      </c>
      <c r="J22" s="1">
        <v>206.0</v>
      </c>
      <c r="K22" s="1">
        <v>9.0</v>
      </c>
      <c r="L22" s="1">
        <v>0.9015</v>
      </c>
      <c r="M22" s="1">
        <v>0.7915</v>
      </c>
    </row>
    <row r="23">
      <c r="A23" s="1" t="s">
        <v>50</v>
      </c>
      <c r="B23" s="1" t="s">
        <v>27</v>
      </c>
      <c r="C23" s="1">
        <v>679.0</v>
      </c>
      <c r="D23" s="1">
        <v>0.7174</v>
      </c>
      <c r="E23" s="1">
        <v>0.7097</v>
      </c>
      <c r="F23" s="1">
        <v>0.7135</v>
      </c>
      <c r="G23" s="10">
        <v>5.0</v>
      </c>
      <c r="H23" s="1">
        <v>66.0</v>
      </c>
      <c r="I23" s="1">
        <v>26.0</v>
      </c>
      <c r="J23" s="1">
        <v>560.0</v>
      </c>
      <c r="K23" s="1">
        <v>27.0</v>
      </c>
      <c r="L23" s="1">
        <v>0.9219</v>
      </c>
      <c r="M23" s="1">
        <v>0.7112</v>
      </c>
    </row>
    <row r="24">
      <c r="A24" s="1" t="s">
        <v>51</v>
      </c>
      <c r="B24" s="1" t="s">
        <v>27</v>
      </c>
      <c r="C24" s="1">
        <v>662.0</v>
      </c>
      <c r="D24" s="1">
        <v>0.6906</v>
      </c>
      <c r="E24" s="1">
        <v>0.7328</v>
      </c>
      <c r="F24" s="1">
        <v>0.7111</v>
      </c>
      <c r="G24" s="10">
        <v>6.0</v>
      </c>
      <c r="H24" s="1">
        <v>96.0</v>
      </c>
      <c r="I24" s="1">
        <v>43.0</v>
      </c>
      <c r="J24" s="1">
        <v>488.0</v>
      </c>
      <c r="K24" s="1">
        <v>35.0</v>
      </c>
      <c r="L24" s="1">
        <v>0.8822</v>
      </c>
      <c r="M24" s="1">
        <v>0.724</v>
      </c>
    </row>
    <row r="25">
      <c r="A25" s="1" t="s">
        <v>43</v>
      </c>
      <c r="B25" s="1" t="s">
        <v>27</v>
      </c>
      <c r="C25" s="1">
        <v>194.0</v>
      </c>
      <c r="D25" s="1">
        <v>0.7111</v>
      </c>
      <c r="E25" s="1">
        <v>0.6957</v>
      </c>
      <c r="F25" s="1">
        <v>0.7033</v>
      </c>
      <c r="G25" s="10">
        <v>7.0</v>
      </c>
      <c r="H25" s="1">
        <v>32.0</v>
      </c>
      <c r="I25" s="1">
        <v>13.0</v>
      </c>
      <c r="J25" s="1">
        <v>135.0</v>
      </c>
      <c r="K25" s="1">
        <v>14.0</v>
      </c>
      <c r="L25" s="1">
        <v>0.8608</v>
      </c>
      <c r="M25" s="1">
        <v>0.6987</v>
      </c>
    </row>
    <row r="26">
      <c r="A26" s="1" t="s">
        <v>53</v>
      </c>
      <c r="B26" s="1" t="s">
        <v>27</v>
      </c>
      <c r="C26" s="1">
        <v>897.0</v>
      </c>
      <c r="D26" s="1">
        <v>0.6474</v>
      </c>
      <c r="E26" s="1">
        <v>0.7321</v>
      </c>
      <c r="F26" s="1">
        <v>0.6872</v>
      </c>
      <c r="G26" s="10">
        <v>8.0</v>
      </c>
      <c r="H26" s="1">
        <v>123.0</v>
      </c>
      <c r="I26" s="1">
        <v>67.0</v>
      </c>
      <c r="J26" s="1">
        <v>662.0</v>
      </c>
      <c r="K26" s="1">
        <v>45.0</v>
      </c>
      <c r="L26" s="1">
        <v>0.8751</v>
      </c>
      <c r="M26" s="1">
        <v>0.7135</v>
      </c>
    </row>
    <row r="27">
      <c r="A27" s="1" t="s">
        <v>49</v>
      </c>
      <c r="B27" s="1" t="s">
        <v>27</v>
      </c>
      <c r="C27" s="1">
        <v>95.0</v>
      </c>
      <c r="D27" s="1">
        <v>0.8</v>
      </c>
      <c r="E27" s="1">
        <v>0.6</v>
      </c>
      <c r="F27" s="1">
        <v>0.6857</v>
      </c>
      <c r="G27" s="10">
        <v>9.0</v>
      </c>
      <c r="H27" s="1">
        <v>12.0</v>
      </c>
      <c r="I27" s="1">
        <v>3.0</v>
      </c>
      <c r="J27" s="1">
        <v>72.0</v>
      </c>
      <c r="K27" s="1">
        <v>8.0</v>
      </c>
      <c r="L27" s="1">
        <v>0.8842</v>
      </c>
      <c r="M27" s="1">
        <v>0.6316</v>
      </c>
    </row>
    <row r="28">
      <c r="A28" s="1" t="s">
        <v>52</v>
      </c>
      <c r="B28" s="1" t="s">
        <v>27</v>
      </c>
      <c r="C28" s="1">
        <v>587.0</v>
      </c>
      <c r="D28" s="1">
        <v>0.6765</v>
      </c>
      <c r="E28" s="1">
        <v>0.69</v>
      </c>
      <c r="F28" s="1">
        <v>0.6832</v>
      </c>
      <c r="G28" s="10">
        <v>10.0</v>
      </c>
      <c r="H28" s="1">
        <v>69.0</v>
      </c>
      <c r="I28" s="1">
        <v>33.0</v>
      </c>
      <c r="J28" s="1">
        <v>454.0</v>
      </c>
      <c r="K28" s="1">
        <v>31.0</v>
      </c>
      <c r="L28" s="1">
        <v>0.891</v>
      </c>
      <c r="M28" s="1">
        <v>0.6873</v>
      </c>
    </row>
    <row r="29">
      <c r="A29" s="1" t="s">
        <v>57</v>
      </c>
      <c r="B29" s="1" t="s">
        <v>27</v>
      </c>
      <c r="C29" s="1">
        <v>153.0</v>
      </c>
      <c r="D29" s="1">
        <v>0.6129</v>
      </c>
      <c r="E29" s="1">
        <v>0.76</v>
      </c>
      <c r="F29" s="1">
        <v>0.6786</v>
      </c>
      <c r="G29" s="10">
        <v>11.0</v>
      </c>
      <c r="H29" s="1">
        <v>19.0</v>
      </c>
      <c r="I29" s="1">
        <v>12.0</v>
      </c>
      <c r="J29" s="1">
        <v>116.0</v>
      </c>
      <c r="K29" s="1">
        <v>6.0</v>
      </c>
      <c r="L29" s="1">
        <v>0.8824</v>
      </c>
      <c r="M29" s="1">
        <v>0.7252</v>
      </c>
    </row>
    <row r="30">
      <c r="A30" s="1" t="s">
        <v>46</v>
      </c>
      <c r="B30" s="1" t="s">
        <v>27</v>
      </c>
      <c r="C30" s="1">
        <v>89.0</v>
      </c>
      <c r="D30" s="1">
        <v>0.75</v>
      </c>
      <c r="E30" s="1">
        <v>0.6</v>
      </c>
      <c r="F30" s="1">
        <v>0.6667</v>
      </c>
      <c r="G30" s="10">
        <v>12.0</v>
      </c>
      <c r="H30" s="1">
        <v>3.0</v>
      </c>
      <c r="I30" s="1">
        <v>1.0</v>
      </c>
      <c r="J30" s="1">
        <v>83.0</v>
      </c>
      <c r="K30" s="1">
        <v>2.0</v>
      </c>
      <c r="L30" s="1">
        <v>0.9663</v>
      </c>
      <c r="M30" s="1">
        <v>0.625</v>
      </c>
    </row>
    <row r="31">
      <c r="A31" s="1" t="s">
        <v>55</v>
      </c>
      <c r="B31" s="1" t="s">
        <v>27</v>
      </c>
      <c r="C31" s="1">
        <v>469.0</v>
      </c>
      <c r="D31" s="1">
        <v>0.5893</v>
      </c>
      <c r="E31" s="1">
        <v>0.75</v>
      </c>
      <c r="F31" s="1">
        <v>0.66</v>
      </c>
      <c r="G31" s="10">
        <v>13.0</v>
      </c>
      <c r="H31" s="1">
        <v>33.0</v>
      </c>
      <c r="I31" s="1">
        <v>23.0</v>
      </c>
      <c r="J31" s="1">
        <v>402.0</v>
      </c>
      <c r="K31" s="1">
        <v>11.0</v>
      </c>
      <c r="L31" s="1">
        <v>0.9275</v>
      </c>
      <c r="M31" s="1">
        <v>0.7112</v>
      </c>
    </row>
    <row r="32">
      <c r="A32" s="1" t="s">
        <v>56</v>
      </c>
      <c r="B32" s="1" t="s">
        <v>27</v>
      </c>
      <c r="C32" s="1">
        <v>446.0</v>
      </c>
      <c r="D32" s="1">
        <v>0.6739</v>
      </c>
      <c r="E32" s="1">
        <v>0.6458</v>
      </c>
      <c r="F32" s="1">
        <v>0.6596</v>
      </c>
      <c r="G32" s="10">
        <v>14.0</v>
      </c>
      <c r="H32" s="1">
        <v>31.0</v>
      </c>
      <c r="I32" s="1">
        <v>15.0</v>
      </c>
      <c r="J32" s="1">
        <v>383.0</v>
      </c>
      <c r="K32" s="1">
        <v>17.0</v>
      </c>
      <c r="L32" s="1">
        <v>0.9283</v>
      </c>
      <c r="M32" s="1">
        <v>0.6513</v>
      </c>
    </row>
    <row r="33">
      <c r="A33" s="1" t="s">
        <v>54</v>
      </c>
      <c r="B33" s="1" t="s">
        <v>27</v>
      </c>
      <c r="C33" s="1">
        <v>49.0</v>
      </c>
      <c r="D33" s="1">
        <v>0.5</v>
      </c>
      <c r="E33" s="1">
        <v>0.6</v>
      </c>
      <c r="F33" s="1">
        <v>0.5455</v>
      </c>
      <c r="G33" s="10">
        <v>15.0</v>
      </c>
      <c r="H33" s="1">
        <v>3.0</v>
      </c>
      <c r="I33" s="1">
        <v>3.0</v>
      </c>
      <c r="J33" s="1">
        <v>41.0</v>
      </c>
      <c r="K33" s="1">
        <v>2.0</v>
      </c>
      <c r="L33" s="1">
        <v>0.898</v>
      </c>
      <c r="M33" s="1">
        <v>0.5769</v>
      </c>
    </row>
    <row r="34">
      <c r="A34" s="1" t="s">
        <v>58</v>
      </c>
      <c r="B34" s="1" t="s">
        <v>27</v>
      </c>
      <c r="C34" s="1">
        <v>117.0</v>
      </c>
      <c r="D34" s="1">
        <v>0.4737</v>
      </c>
      <c r="E34" s="1">
        <v>0.5294</v>
      </c>
      <c r="F34" s="1">
        <v>0.5</v>
      </c>
      <c r="G34" s="10">
        <v>16.0</v>
      </c>
      <c r="H34" s="1">
        <v>9.0</v>
      </c>
      <c r="I34" s="1">
        <v>10.0</v>
      </c>
      <c r="J34" s="1">
        <v>90.0</v>
      </c>
      <c r="K34" s="1">
        <v>8.0</v>
      </c>
      <c r="L34" s="1">
        <v>0.8462</v>
      </c>
      <c r="M34" s="1">
        <v>0.5172</v>
      </c>
    </row>
    <row r="35">
      <c r="A35" s="1" t="s">
        <v>42</v>
      </c>
      <c r="B35" s="1" t="s">
        <v>27</v>
      </c>
      <c r="C35" s="1">
        <v>16.0</v>
      </c>
      <c r="D35" s="1">
        <v>0.6667</v>
      </c>
      <c r="E35" s="1">
        <v>0.3333</v>
      </c>
      <c r="F35" s="1">
        <v>0.4444</v>
      </c>
      <c r="G35" s="10">
        <v>17.0</v>
      </c>
      <c r="H35" s="1">
        <v>2.0</v>
      </c>
      <c r="I35" s="1">
        <v>1.0</v>
      </c>
      <c r="J35" s="1">
        <v>9.0</v>
      </c>
      <c r="K35" s="1">
        <v>4.0</v>
      </c>
      <c r="L35" s="1">
        <v>0.6875</v>
      </c>
      <c r="M35" s="1">
        <v>0.3704</v>
      </c>
    </row>
    <row r="36">
      <c r="A36" s="1" t="s">
        <v>45</v>
      </c>
      <c r="B36" s="1" t="s">
        <v>16</v>
      </c>
      <c r="C36" s="1">
        <v>49.0</v>
      </c>
      <c r="D36" s="1">
        <v>0.9</v>
      </c>
      <c r="E36" s="1">
        <v>0.8182</v>
      </c>
      <c r="F36" s="1">
        <v>0.8571</v>
      </c>
      <c r="G36" s="11">
        <v>1.0</v>
      </c>
      <c r="H36" s="1">
        <v>9.0</v>
      </c>
      <c r="I36" s="1">
        <v>1.0</v>
      </c>
      <c r="J36" s="1">
        <v>37.0</v>
      </c>
      <c r="K36" s="1">
        <v>2.0</v>
      </c>
      <c r="L36" s="1">
        <v>0.9388</v>
      </c>
      <c r="M36" s="1">
        <v>0.8333</v>
      </c>
    </row>
    <row r="37">
      <c r="A37" s="1" t="s">
        <v>48</v>
      </c>
      <c r="B37" s="1" t="s">
        <v>16</v>
      </c>
      <c r="C37" s="1">
        <v>26.0</v>
      </c>
      <c r="D37" s="1">
        <v>0.8</v>
      </c>
      <c r="E37" s="1">
        <v>0.8</v>
      </c>
      <c r="F37" s="1">
        <v>0.8</v>
      </c>
      <c r="G37" s="11">
        <v>2.0</v>
      </c>
      <c r="H37" s="1">
        <v>4.0</v>
      </c>
      <c r="I37" s="1">
        <v>1.0</v>
      </c>
      <c r="J37" s="1">
        <v>20.0</v>
      </c>
      <c r="K37" s="1">
        <v>1.0</v>
      </c>
      <c r="L37" s="1">
        <v>0.9231</v>
      </c>
      <c r="M37" s="1">
        <v>0.8</v>
      </c>
    </row>
    <row r="38">
      <c r="A38" s="1" t="s">
        <v>49</v>
      </c>
      <c r="B38" s="1" t="s">
        <v>16</v>
      </c>
      <c r="C38" s="1">
        <v>95.0</v>
      </c>
      <c r="D38" s="1">
        <v>0.7619</v>
      </c>
      <c r="E38" s="1">
        <v>0.8</v>
      </c>
      <c r="F38" s="1">
        <v>0.7805</v>
      </c>
      <c r="G38" s="11">
        <v>3.0</v>
      </c>
      <c r="H38" s="1">
        <v>16.0</v>
      </c>
      <c r="I38" s="1">
        <v>5.0</v>
      </c>
      <c r="J38" s="1">
        <v>70.0</v>
      </c>
      <c r="K38" s="1">
        <v>4.0</v>
      </c>
      <c r="L38" s="1">
        <v>0.9053</v>
      </c>
      <c r="M38" s="1">
        <v>0.7921</v>
      </c>
    </row>
    <row r="39">
      <c r="A39" s="1" t="s">
        <v>44</v>
      </c>
      <c r="B39" s="1" t="s">
        <v>16</v>
      </c>
      <c r="C39" s="1">
        <v>65.0</v>
      </c>
      <c r="D39" s="1">
        <v>0.8333</v>
      </c>
      <c r="E39" s="1">
        <v>0.7143</v>
      </c>
      <c r="F39" s="1">
        <v>0.7692</v>
      </c>
      <c r="G39" s="11">
        <v>4.0</v>
      </c>
      <c r="H39" s="1">
        <v>10.0</v>
      </c>
      <c r="I39" s="1">
        <v>2.0</v>
      </c>
      <c r="J39" s="1">
        <v>49.0</v>
      </c>
      <c r="K39" s="1">
        <v>4.0</v>
      </c>
      <c r="L39" s="1">
        <v>0.9077</v>
      </c>
      <c r="M39" s="1">
        <v>0.7353</v>
      </c>
    </row>
    <row r="40">
      <c r="A40" s="1" t="s">
        <v>42</v>
      </c>
      <c r="B40" s="1" t="s">
        <v>16</v>
      </c>
      <c r="C40" s="1">
        <v>16.0</v>
      </c>
      <c r="D40" s="1">
        <v>0.8</v>
      </c>
      <c r="E40" s="1">
        <v>0.6667</v>
      </c>
      <c r="F40" s="1">
        <v>0.7273</v>
      </c>
      <c r="G40" s="11">
        <v>5.0</v>
      </c>
      <c r="H40" s="1">
        <v>4.0</v>
      </c>
      <c r="I40" s="1">
        <v>1.0</v>
      </c>
      <c r="J40" s="1">
        <v>9.0</v>
      </c>
      <c r="K40" s="1">
        <v>2.0</v>
      </c>
      <c r="L40" s="1">
        <v>0.8125</v>
      </c>
      <c r="M40" s="1">
        <v>0.6897</v>
      </c>
    </row>
    <row r="41">
      <c r="A41" s="1" t="s">
        <v>47</v>
      </c>
      <c r="B41" s="1" t="s">
        <v>16</v>
      </c>
      <c r="C41" s="1">
        <v>274.0</v>
      </c>
      <c r="D41" s="1">
        <v>0.75</v>
      </c>
      <c r="E41" s="1">
        <v>0.66</v>
      </c>
      <c r="F41" s="1">
        <v>0.7021</v>
      </c>
      <c r="G41" s="11">
        <v>6.0</v>
      </c>
      <c r="H41" s="1">
        <v>33.0</v>
      </c>
      <c r="I41" s="1">
        <v>11.0</v>
      </c>
      <c r="J41" s="1">
        <v>213.0</v>
      </c>
      <c r="K41" s="1">
        <v>17.0</v>
      </c>
      <c r="L41" s="1">
        <v>0.8978</v>
      </c>
      <c r="M41" s="1">
        <v>0.6762</v>
      </c>
    </row>
    <row r="42">
      <c r="A42" s="1" t="s">
        <v>53</v>
      </c>
      <c r="B42" s="1" t="s">
        <v>16</v>
      </c>
      <c r="C42" s="1">
        <v>897.0</v>
      </c>
      <c r="D42" s="1">
        <v>0.6864</v>
      </c>
      <c r="E42" s="1">
        <v>0.6905</v>
      </c>
      <c r="F42" s="1">
        <v>0.6884</v>
      </c>
      <c r="G42" s="11">
        <v>7.0</v>
      </c>
      <c r="H42" s="1">
        <v>116.0</v>
      </c>
      <c r="I42" s="1">
        <v>53.0</v>
      </c>
      <c r="J42" s="1">
        <v>676.0</v>
      </c>
      <c r="K42" s="1">
        <v>52.0</v>
      </c>
      <c r="L42" s="1">
        <v>0.8829</v>
      </c>
      <c r="M42" s="1">
        <v>0.6897</v>
      </c>
    </row>
    <row r="43">
      <c r="A43" s="1" t="s">
        <v>51</v>
      </c>
      <c r="B43" s="1" t="s">
        <v>16</v>
      </c>
      <c r="C43" s="1">
        <v>662.0</v>
      </c>
      <c r="D43" s="1">
        <v>0.6769</v>
      </c>
      <c r="E43" s="1">
        <v>0.6718</v>
      </c>
      <c r="F43" s="1">
        <v>0.6743</v>
      </c>
      <c r="G43" s="11">
        <v>8.0</v>
      </c>
      <c r="H43" s="1">
        <v>88.0</v>
      </c>
      <c r="I43" s="1">
        <v>42.0</v>
      </c>
      <c r="J43" s="1">
        <v>489.0</v>
      </c>
      <c r="K43" s="1">
        <v>43.0</v>
      </c>
      <c r="L43" s="1">
        <v>0.8716</v>
      </c>
      <c r="M43" s="1">
        <v>0.6728</v>
      </c>
    </row>
    <row r="44">
      <c r="A44" s="1" t="s">
        <v>55</v>
      </c>
      <c r="B44" s="1" t="s">
        <v>16</v>
      </c>
      <c r="C44" s="1">
        <v>469.0</v>
      </c>
      <c r="D44" s="1">
        <v>0.5965</v>
      </c>
      <c r="E44" s="1">
        <v>0.7727</v>
      </c>
      <c r="F44" s="1">
        <v>0.6733</v>
      </c>
      <c r="G44" s="11">
        <v>9.0</v>
      </c>
      <c r="H44" s="1">
        <v>34.0</v>
      </c>
      <c r="I44" s="1">
        <v>23.0</v>
      </c>
      <c r="J44" s="1">
        <v>402.0</v>
      </c>
      <c r="K44" s="1">
        <v>10.0</v>
      </c>
      <c r="L44" s="1">
        <v>0.9296</v>
      </c>
      <c r="M44" s="1">
        <v>0.7296</v>
      </c>
    </row>
    <row r="45">
      <c r="A45" s="1" t="s">
        <v>54</v>
      </c>
      <c r="B45" s="1" t="s">
        <v>16</v>
      </c>
      <c r="C45" s="1">
        <v>49.0</v>
      </c>
      <c r="D45" s="1">
        <v>0.75</v>
      </c>
      <c r="E45" s="1">
        <v>0.6</v>
      </c>
      <c r="F45" s="1">
        <v>0.6667</v>
      </c>
      <c r="G45" s="11">
        <v>10.0</v>
      </c>
      <c r="H45" s="1">
        <v>3.0</v>
      </c>
      <c r="I45" s="1">
        <v>1.0</v>
      </c>
      <c r="J45" s="1">
        <v>43.0</v>
      </c>
      <c r="K45" s="1">
        <v>2.0</v>
      </c>
      <c r="L45" s="1">
        <v>0.9388</v>
      </c>
      <c r="M45" s="1">
        <v>0.625</v>
      </c>
    </row>
    <row r="46">
      <c r="A46" s="1" t="s">
        <v>50</v>
      </c>
      <c r="B46" s="1" t="s">
        <v>16</v>
      </c>
      <c r="C46" s="1">
        <v>679.0</v>
      </c>
      <c r="D46" s="1">
        <v>0.75</v>
      </c>
      <c r="E46" s="1">
        <v>0.5806</v>
      </c>
      <c r="F46" s="1">
        <v>0.6545</v>
      </c>
      <c r="G46" s="11">
        <v>11.0</v>
      </c>
      <c r="H46" s="1">
        <v>54.0</v>
      </c>
      <c r="I46" s="1">
        <v>18.0</v>
      </c>
      <c r="J46" s="1">
        <v>568.0</v>
      </c>
      <c r="K46" s="1">
        <v>39.0</v>
      </c>
      <c r="L46" s="1">
        <v>0.9161</v>
      </c>
      <c r="M46" s="1">
        <v>0.6081</v>
      </c>
    </row>
    <row r="47">
      <c r="A47" s="1" t="s">
        <v>52</v>
      </c>
      <c r="B47" s="1" t="s">
        <v>16</v>
      </c>
      <c r="C47" s="1">
        <v>587.0</v>
      </c>
      <c r="D47" s="1">
        <v>0.7143</v>
      </c>
      <c r="E47" s="1">
        <v>0.6</v>
      </c>
      <c r="F47" s="1">
        <v>0.6522</v>
      </c>
      <c r="G47" s="11">
        <v>12.0</v>
      </c>
      <c r="H47" s="1">
        <v>60.0</v>
      </c>
      <c r="I47" s="1">
        <v>24.0</v>
      </c>
      <c r="J47" s="1">
        <v>463.0</v>
      </c>
      <c r="K47" s="1">
        <v>40.0</v>
      </c>
      <c r="L47" s="1">
        <v>0.891</v>
      </c>
      <c r="M47" s="1">
        <v>0.6198</v>
      </c>
    </row>
    <row r="48">
      <c r="A48" s="1" t="s">
        <v>56</v>
      </c>
      <c r="B48" s="1" t="s">
        <v>16</v>
      </c>
      <c r="C48" s="1">
        <v>446.0</v>
      </c>
      <c r="D48" s="1">
        <v>0.6522</v>
      </c>
      <c r="E48" s="1">
        <v>0.625</v>
      </c>
      <c r="F48" s="1">
        <v>0.6383</v>
      </c>
      <c r="G48" s="11">
        <v>13.0</v>
      </c>
      <c r="H48" s="1">
        <v>30.0</v>
      </c>
      <c r="I48" s="1">
        <v>16.0</v>
      </c>
      <c r="J48" s="1">
        <v>382.0</v>
      </c>
      <c r="K48" s="1">
        <v>18.0</v>
      </c>
      <c r="L48" s="1">
        <v>0.9238</v>
      </c>
      <c r="M48" s="1">
        <v>0.6303</v>
      </c>
    </row>
    <row r="49">
      <c r="A49" s="1" t="s">
        <v>57</v>
      </c>
      <c r="B49" s="1" t="s">
        <v>16</v>
      </c>
      <c r="C49" s="1">
        <v>153.0</v>
      </c>
      <c r="D49" s="1">
        <v>0.6818</v>
      </c>
      <c r="E49" s="1">
        <v>0.6</v>
      </c>
      <c r="F49" s="1">
        <v>0.6383</v>
      </c>
      <c r="G49" s="11">
        <v>14.0</v>
      </c>
      <c r="H49" s="1">
        <v>15.0</v>
      </c>
      <c r="I49" s="1">
        <v>7.0</v>
      </c>
      <c r="J49" s="1">
        <v>121.0</v>
      </c>
      <c r="K49" s="1">
        <v>10.0</v>
      </c>
      <c r="L49" s="1">
        <v>0.8889</v>
      </c>
      <c r="M49" s="1">
        <v>0.6148</v>
      </c>
    </row>
    <row r="50">
      <c r="A50" s="1" t="s">
        <v>43</v>
      </c>
      <c r="B50" s="1" t="s">
        <v>16</v>
      </c>
      <c r="C50" s="1">
        <v>194.0</v>
      </c>
      <c r="D50" s="1">
        <v>0.6279</v>
      </c>
      <c r="E50" s="1">
        <v>0.587</v>
      </c>
      <c r="F50" s="1">
        <v>0.6067</v>
      </c>
      <c r="G50" s="11">
        <v>15.0</v>
      </c>
      <c r="H50" s="1">
        <v>27.0</v>
      </c>
      <c r="I50" s="1">
        <v>16.0</v>
      </c>
      <c r="J50" s="1">
        <v>132.0</v>
      </c>
      <c r="K50" s="1">
        <v>19.0</v>
      </c>
      <c r="L50" s="1">
        <v>0.8196</v>
      </c>
      <c r="M50" s="1">
        <v>0.5947</v>
      </c>
    </row>
    <row r="51">
      <c r="A51" s="1" t="s">
        <v>58</v>
      </c>
      <c r="B51" s="1" t="s">
        <v>16</v>
      </c>
      <c r="C51" s="1">
        <v>117.0</v>
      </c>
      <c r="D51" s="1">
        <v>0.4667</v>
      </c>
      <c r="E51" s="1">
        <v>0.4118</v>
      </c>
      <c r="F51" s="1">
        <v>0.4375</v>
      </c>
      <c r="G51" s="11">
        <v>16.0</v>
      </c>
      <c r="H51" s="1">
        <v>7.0</v>
      </c>
      <c r="I51" s="1">
        <v>8.0</v>
      </c>
      <c r="J51" s="1">
        <v>92.0</v>
      </c>
      <c r="K51" s="1">
        <v>10.0</v>
      </c>
      <c r="L51" s="1">
        <v>0.8462</v>
      </c>
      <c r="M51" s="1">
        <v>0.4217</v>
      </c>
    </row>
    <row r="52">
      <c r="A52" s="1" t="s">
        <v>46</v>
      </c>
      <c r="B52" s="1" t="s">
        <v>16</v>
      </c>
      <c r="C52" s="1">
        <v>89.0</v>
      </c>
      <c r="D52" s="1">
        <v>0.5</v>
      </c>
      <c r="E52" s="1">
        <v>0.2</v>
      </c>
      <c r="F52" s="1">
        <v>0.2857</v>
      </c>
      <c r="G52" s="11">
        <v>17.0</v>
      </c>
      <c r="H52" s="1">
        <v>1.0</v>
      </c>
      <c r="I52" s="1">
        <v>1.0</v>
      </c>
      <c r="J52" s="1">
        <v>83.0</v>
      </c>
      <c r="K52" s="1">
        <v>4.0</v>
      </c>
      <c r="L52" s="1">
        <v>0.9438</v>
      </c>
      <c r="M52" s="1">
        <v>0.2273</v>
      </c>
    </row>
    <row r="53">
      <c r="A53" s="1" t="s">
        <v>45</v>
      </c>
      <c r="B53" s="1" t="s">
        <v>20</v>
      </c>
      <c r="C53" s="1">
        <v>49.0</v>
      </c>
      <c r="D53" s="1">
        <v>0.9</v>
      </c>
      <c r="E53" s="1">
        <v>0.8182</v>
      </c>
      <c r="F53" s="1">
        <v>0.8571</v>
      </c>
      <c r="G53" s="10">
        <v>1.0</v>
      </c>
      <c r="H53" s="1">
        <v>9.0</v>
      </c>
      <c r="I53" s="1">
        <v>1.0</v>
      </c>
      <c r="J53" s="1">
        <v>37.0</v>
      </c>
      <c r="K53" s="1">
        <v>2.0</v>
      </c>
      <c r="L53" s="1">
        <v>0.9388</v>
      </c>
      <c r="M53" s="1">
        <v>0.8333</v>
      </c>
    </row>
    <row r="54">
      <c r="A54" s="1" t="s">
        <v>48</v>
      </c>
      <c r="B54" s="1" t="s">
        <v>20</v>
      </c>
      <c r="C54" s="1">
        <v>26.0</v>
      </c>
      <c r="D54" s="1">
        <v>0.8</v>
      </c>
      <c r="E54" s="1">
        <v>0.8</v>
      </c>
      <c r="F54" s="1">
        <v>0.8</v>
      </c>
      <c r="G54" s="10">
        <v>2.0</v>
      </c>
      <c r="H54" s="1">
        <v>4.0</v>
      </c>
      <c r="I54" s="1">
        <v>1.0</v>
      </c>
      <c r="J54" s="1">
        <v>20.0</v>
      </c>
      <c r="K54" s="1">
        <v>1.0</v>
      </c>
      <c r="L54" s="1">
        <v>0.9231</v>
      </c>
      <c r="M54" s="1">
        <v>0.8</v>
      </c>
    </row>
    <row r="55">
      <c r="A55" s="1" t="s">
        <v>44</v>
      </c>
      <c r="B55" s="1" t="s">
        <v>20</v>
      </c>
      <c r="C55" s="1">
        <v>65.0</v>
      </c>
      <c r="D55" s="1">
        <v>1.0</v>
      </c>
      <c r="E55" s="1">
        <v>0.6429</v>
      </c>
      <c r="F55" s="1">
        <v>0.7826</v>
      </c>
      <c r="G55" s="10">
        <v>3.0</v>
      </c>
      <c r="H55" s="1">
        <v>9.0</v>
      </c>
      <c r="I55" s="1">
        <v>0.0</v>
      </c>
      <c r="J55" s="1">
        <v>51.0</v>
      </c>
      <c r="K55" s="1">
        <v>5.0</v>
      </c>
      <c r="L55" s="1">
        <v>0.9231</v>
      </c>
      <c r="M55" s="1">
        <v>0.6923</v>
      </c>
    </row>
    <row r="56">
      <c r="A56" s="1" t="s">
        <v>49</v>
      </c>
      <c r="B56" s="1" t="s">
        <v>20</v>
      </c>
      <c r="C56" s="1">
        <v>95.0</v>
      </c>
      <c r="D56" s="1">
        <v>0.7368</v>
      </c>
      <c r="E56" s="1">
        <v>0.7</v>
      </c>
      <c r="F56" s="1">
        <v>0.7179</v>
      </c>
      <c r="G56" s="10">
        <v>4.0</v>
      </c>
      <c r="H56" s="1">
        <v>14.0</v>
      </c>
      <c r="I56" s="1">
        <v>5.0</v>
      </c>
      <c r="J56" s="1">
        <v>70.0</v>
      </c>
      <c r="K56" s="1">
        <v>6.0</v>
      </c>
      <c r="L56" s="1">
        <v>0.8842</v>
      </c>
      <c r="M56" s="1">
        <v>0.7071</v>
      </c>
    </row>
    <row r="57">
      <c r="A57" s="1" t="s">
        <v>47</v>
      </c>
      <c r="B57" s="1" t="s">
        <v>20</v>
      </c>
      <c r="C57" s="1">
        <v>274.0</v>
      </c>
      <c r="D57" s="1">
        <v>0.6923</v>
      </c>
      <c r="E57" s="1">
        <v>0.72</v>
      </c>
      <c r="F57" s="1">
        <v>0.7059</v>
      </c>
      <c r="G57" s="10">
        <v>5.0</v>
      </c>
      <c r="H57" s="1">
        <v>36.0</v>
      </c>
      <c r="I57" s="1">
        <v>16.0</v>
      </c>
      <c r="J57" s="1">
        <v>208.0</v>
      </c>
      <c r="K57" s="1">
        <v>14.0</v>
      </c>
      <c r="L57" s="1">
        <v>0.8905</v>
      </c>
      <c r="M57" s="1">
        <v>0.7143</v>
      </c>
    </row>
    <row r="58">
      <c r="A58" s="1" t="s">
        <v>53</v>
      </c>
      <c r="B58" s="1" t="s">
        <v>20</v>
      </c>
      <c r="C58" s="1">
        <v>897.0</v>
      </c>
      <c r="D58" s="1">
        <v>0.6784</v>
      </c>
      <c r="E58" s="1">
        <v>0.6905</v>
      </c>
      <c r="F58" s="1">
        <v>0.6844</v>
      </c>
      <c r="G58" s="10">
        <v>6.0</v>
      </c>
      <c r="H58" s="1">
        <v>116.0</v>
      </c>
      <c r="I58" s="1">
        <v>55.0</v>
      </c>
      <c r="J58" s="1">
        <v>674.0</v>
      </c>
      <c r="K58" s="1">
        <v>52.0</v>
      </c>
      <c r="L58" s="1">
        <v>0.8807</v>
      </c>
      <c r="M58" s="1">
        <v>0.688</v>
      </c>
    </row>
    <row r="59">
      <c r="A59" s="1" t="s">
        <v>56</v>
      </c>
      <c r="B59" s="1" t="s">
        <v>20</v>
      </c>
      <c r="C59" s="1">
        <v>446.0</v>
      </c>
      <c r="D59" s="1">
        <v>0.6957</v>
      </c>
      <c r="E59" s="1">
        <v>0.6667</v>
      </c>
      <c r="F59" s="1">
        <v>0.6809</v>
      </c>
      <c r="G59" s="10">
        <v>7.0</v>
      </c>
      <c r="H59" s="1">
        <v>32.0</v>
      </c>
      <c r="I59" s="1">
        <v>14.0</v>
      </c>
      <c r="J59" s="1">
        <v>384.0</v>
      </c>
      <c r="K59" s="1">
        <v>16.0</v>
      </c>
      <c r="L59" s="1">
        <v>0.9327</v>
      </c>
      <c r="M59" s="1">
        <v>0.6723</v>
      </c>
    </row>
    <row r="60">
      <c r="A60" s="1" t="s">
        <v>50</v>
      </c>
      <c r="B60" s="1" t="s">
        <v>20</v>
      </c>
      <c r="C60" s="1">
        <v>679.0</v>
      </c>
      <c r="D60" s="1">
        <v>0.75</v>
      </c>
      <c r="E60" s="1">
        <v>0.6129</v>
      </c>
      <c r="F60" s="1">
        <v>0.6746</v>
      </c>
      <c r="G60" s="10">
        <v>8.0</v>
      </c>
      <c r="H60" s="1">
        <v>57.0</v>
      </c>
      <c r="I60" s="1">
        <v>19.0</v>
      </c>
      <c r="J60" s="1">
        <v>567.0</v>
      </c>
      <c r="K60" s="1">
        <v>36.0</v>
      </c>
      <c r="L60" s="1">
        <v>0.919</v>
      </c>
      <c r="M60" s="1">
        <v>0.6362</v>
      </c>
    </row>
    <row r="61">
      <c r="A61" s="1" t="s">
        <v>52</v>
      </c>
      <c r="B61" s="1" t="s">
        <v>20</v>
      </c>
      <c r="C61" s="1">
        <v>587.0</v>
      </c>
      <c r="D61" s="1">
        <v>0.6932</v>
      </c>
      <c r="E61" s="1">
        <v>0.61</v>
      </c>
      <c r="F61" s="1">
        <v>0.6489</v>
      </c>
      <c r="G61" s="10">
        <v>9.0</v>
      </c>
      <c r="H61" s="1">
        <v>61.0</v>
      </c>
      <c r="I61" s="1">
        <v>27.0</v>
      </c>
      <c r="J61" s="1">
        <v>460.0</v>
      </c>
      <c r="K61" s="1">
        <v>39.0</v>
      </c>
      <c r="L61" s="1">
        <v>0.8876</v>
      </c>
      <c r="M61" s="1">
        <v>0.625</v>
      </c>
    </row>
    <row r="62">
      <c r="A62" s="1" t="s">
        <v>51</v>
      </c>
      <c r="B62" s="1" t="s">
        <v>20</v>
      </c>
      <c r="C62" s="1">
        <v>662.0</v>
      </c>
      <c r="D62" s="1">
        <v>0.675</v>
      </c>
      <c r="E62" s="1">
        <v>0.6183</v>
      </c>
      <c r="F62" s="1">
        <v>0.6454</v>
      </c>
      <c r="G62" s="10">
        <v>10.0</v>
      </c>
      <c r="H62" s="1">
        <v>81.0</v>
      </c>
      <c r="I62" s="1">
        <v>39.0</v>
      </c>
      <c r="J62" s="1">
        <v>492.0</v>
      </c>
      <c r="K62" s="1">
        <v>50.0</v>
      </c>
      <c r="L62" s="1">
        <v>0.8656</v>
      </c>
      <c r="M62" s="1">
        <v>0.6289</v>
      </c>
    </row>
    <row r="63">
      <c r="A63" s="1" t="s">
        <v>43</v>
      </c>
      <c r="B63" s="1" t="s">
        <v>20</v>
      </c>
      <c r="C63" s="1">
        <v>194.0</v>
      </c>
      <c r="D63" s="1">
        <v>0.675</v>
      </c>
      <c r="E63" s="1">
        <v>0.587</v>
      </c>
      <c r="F63" s="1">
        <v>0.6279</v>
      </c>
      <c r="G63" s="10">
        <v>11.0</v>
      </c>
      <c r="H63" s="1">
        <v>27.0</v>
      </c>
      <c r="I63" s="1">
        <v>13.0</v>
      </c>
      <c r="J63" s="1">
        <v>135.0</v>
      </c>
      <c r="K63" s="1">
        <v>19.0</v>
      </c>
      <c r="L63" s="1">
        <v>0.8351</v>
      </c>
      <c r="M63" s="1">
        <v>0.6027</v>
      </c>
    </row>
    <row r="64">
      <c r="A64" s="1" t="s">
        <v>57</v>
      </c>
      <c r="B64" s="1" t="s">
        <v>20</v>
      </c>
      <c r="C64" s="1">
        <v>153.0</v>
      </c>
      <c r="D64" s="1">
        <v>0.6522</v>
      </c>
      <c r="E64" s="1">
        <v>0.6</v>
      </c>
      <c r="F64" s="1">
        <v>0.625</v>
      </c>
      <c r="G64" s="10">
        <v>12.0</v>
      </c>
      <c r="H64" s="1">
        <v>15.0</v>
      </c>
      <c r="I64" s="1">
        <v>8.0</v>
      </c>
      <c r="J64" s="1">
        <v>120.0</v>
      </c>
      <c r="K64" s="1">
        <v>10.0</v>
      </c>
      <c r="L64" s="1">
        <v>0.8824</v>
      </c>
      <c r="M64" s="1">
        <v>0.6098</v>
      </c>
    </row>
    <row r="65">
      <c r="A65" s="1" t="s">
        <v>55</v>
      </c>
      <c r="B65" s="1" t="s">
        <v>20</v>
      </c>
      <c r="C65" s="1">
        <v>469.0</v>
      </c>
      <c r="D65" s="1">
        <v>0.5424</v>
      </c>
      <c r="E65" s="1">
        <v>0.7273</v>
      </c>
      <c r="F65" s="1">
        <v>0.6214</v>
      </c>
      <c r="G65" s="10">
        <v>13.0</v>
      </c>
      <c r="H65" s="1">
        <v>32.0</v>
      </c>
      <c r="I65" s="1">
        <v>27.0</v>
      </c>
      <c r="J65" s="1">
        <v>398.0</v>
      </c>
      <c r="K65" s="1">
        <v>12.0</v>
      </c>
      <c r="L65" s="1">
        <v>0.9168</v>
      </c>
      <c r="M65" s="1">
        <v>0.6809</v>
      </c>
    </row>
    <row r="66">
      <c r="A66" s="1" t="s">
        <v>54</v>
      </c>
      <c r="B66" s="1" t="s">
        <v>20</v>
      </c>
      <c r="C66" s="1">
        <v>49.0</v>
      </c>
      <c r="D66" s="1">
        <v>0.5</v>
      </c>
      <c r="E66" s="1">
        <v>0.6</v>
      </c>
      <c r="F66" s="1">
        <v>0.5455</v>
      </c>
      <c r="G66" s="10">
        <v>14.0</v>
      </c>
      <c r="H66" s="1">
        <v>3.0</v>
      </c>
      <c r="I66" s="1">
        <v>3.0</v>
      </c>
      <c r="J66" s="1">
        <v>41.0</v>
      </c>
      <c r="K66" s="1">
        <v>2.0</v>
      </c>
      <c r="L66" s="1">
        <v>0.898</v>
      </c>
      <c r="M66" s="1">
        <v>0.5769</v>
      </c>
    </row>
    <row r="67">
      <c r="A67" s="1" t="s">
        <v>42</v>
      </c>
      <c r="B67" s="1" t="s">
        <v>20</v>
      </c>
      <c r="C67" s="1">
        <v>16.0</v>
      </c>
      <c r="D67" s="1">
        <v>1.0</v>
      </c>
      <c r="E67" s="1">
        <v>0.3333</v>
      </c>
      <c r="F67" s="1">
        <v>0.5</v>
      </c>
      <c r="G67" s="10">
        <v>15.0</v>
      </c>
      <c r="H67" s="1">
        <v>2.0</v>
      </c>
      <c r="I67" s="1">
        <v>0.0</v>
      </c>
      <c r="J67" s="1">
        <v>10.0</v>
      </c>
      <c r="K67" s="1">
        <v>4.0</v>
      </c>
      <c r="L67" s="1">
        <v>0.75</v>
      </c>
      <c r="M67" s="1">
        <v>0.3846</v>
      </c>
    </row>
    <row r="68">
      <c r="A68" s="1" t="s">
        <v>58</v>
      </c>
      <c r="B68" s="1" t="s">
        <v>20</v>
      </c>
      <c r="C68" s="1">
        <v>117.0</v>
      </c>
      <c r="D68" s="1">
        <v>0.4286</v>
      </c>
      <c r="E68" s="1">
        <v>0.3529</v>
      </c>
      <c r="F68" s="1">
        <v>0.3871</v>
      </c>
      <c r="G68" s="10">
        <v>16.0</v>
      </c>
      <c r="H68" s="1">
        <v>6.0</v>
      </c>
      <c r="I68" s="1">
        <v>8.0</v>
      </c>
      <c r="J68" s="1">
        <v>92.0</v>
      </c>
      <c r="K68" s="1">
        <v>11.0</v>
      </c>
      <c r="L68" s="1">
        <v>0.8376</v>
      </c>
      <c r="M68" s="1">
        <v>0.3659</v>
      </c>
    </row>
    <row r="69">
      <c r="A69" s="1" t="s">
        <v>46</v>
      </c>
      <c r="B69" s="1" t="s">
        <v>20</v>
      </c>
      <c r="C69" s="1">
        <v>89.0</v>
      </c>
      <c r="D69" s="1">
        <v>0.5</v>
      </c>
      <c r="E69" s="1">
        <v>0.2</v>
      </c>
      <c r="F69" s="1">
        <v>0.2857</v>
      </c>
      <c r="G69" s="10">
        <v>17.0</v>
      </c>
      <c r="H69" s="1">
        <v>1.0</v>
      </c>
      <c r="I69" s="1">
        <v>1.0</v>
      </c>
      <c r="J69" s="1">
        <v>83.0</v>
      </c>
      <c r="K69" s="1">
        <v>4.0</v>
      </c>
      <c r="L69" s="1">
        <v>0.9438</v>
      </c>
      <c r="M69" s="1">
        <v>0.2273</v>
      </c>
    </row>
    <row r="70">
      <c r="A70" s="1" t="s">
        <v>45</v>
      </c>
      <c r="B70" s="1" t="s">
        <v>29</v>
      </c>
      <c r="C70" s="1">
        <v>49.0</v>
      </c>
      <c r="D70" s="1">
        <v>0.8889</v>
      </c>
      <c r="E70" s="1">
        <v>0.7273</v>
      </c>
      <c r="F70" s="1">
        <v>0.8</v>
      </c>
      <c r="G70" s="10">
        <v>1.0</v>
      </c>
      <c r="H70" s="1">
        <v>8.0</v>
      </c>
      <c r="I70" s="1">
        <v>1.0</v>
      </c>
      <c r="J70" s="1">
        <v>37.0</v>
      </c>
      <c r="K70" s="1">
        <v>3.0</v>
      </c>
      <c r="L70" s="1">
        <v>0.9184</v>
      </c>
      <c r="M70" s="1">
        <v>0.7547</v>
      </c>
    </row>
    <row r="71">
      <c r="A71" s="1" t="s">
        <v>46</v>
      </c>
      <c r="B71" s="1" t="s">
        <v>29</v>
      </c>
      <c r="C71" s="1">
        <v>89.0</v>
      </c>
      <c r="D71" s="1">
        <v>1.0</v>
      </c>
      <c r="E71" s="1">
        <v>0.6</v>
      </c>
      <c r="F71" s="1">
        <v>0.75</v>
      </c>
      <c r="G71" s="10">
        <v>2.0</v>
      </c>
      <c r="H71" s="1">
        <v>3.0</v>
      </c>
      <c r="I71" s="1">
        <v>0.0</v>
      </c>
      <c r="J71" s="1">
        <v>84.0</v>
      </c>
      <c r="K71" s="1">
        <v>2.0</v>
      </c>
      <c r="L71" s="1">
        <v>0.9775</v>
      </c>
      <c r="M71" s="1">
        <v>0.6522</v>
      </c>
    </row>
    <row r="72">
      <c r="A72" s="1" t="s">
        <v>47</v>
      </c>
      <c r="B72" s="1" t="s">
        <v>29</v>
      </c>
      <c r="C72" s="1">
        <v>274.0</v>
      </c>
      <c r="D72" s="1">
        <v>0.6515</v>
      </c>
      <c r="E72" s="1">
        <v>0.86</v>
      </c>
      <c r="F72" s="1">
        <v>0.7414</v>
      </c>
      <c r="G72" s="10">
        <v>3.0</v>
      </c>
      <c r="H72" s="1">
        <v>43.0</v>
      </c>
      <c r="I72" s="1">
        <v>23.0</v>
      </c>
      <c r="J72" s="1">
        <v>201.0</v>
      </c>
      <c r="K72" s="1">
        <v>7.0</v>
      </c>
      <c r="L72" s="1">
        <v>0.8905</v>
      </c>
      <c r="M72" s="1">
        <v>0.8083</v>
      </c>
    </row>
    <row r="73">
      <c r="A73" s="1" t="s">
        <v>42</v>
      </c>
      <c r="B73" s="1" t="s">
        <v>29</v>
      </c>
      <c r="C73" s="1">
        <v>16.0</v>
      </c>
      <c r="D73" s="1">
        <v>0.8</v>
      </c>
      <c r="E73" s="1">
        <v>0.6667</v>
      </c>
      <c r="F73" s="1">
        <v>0.7273</v>
      </c>
      <c r="G73" s="10">
        <v>4.0</v>
      </c>
      <c r="H73" s="1">
        <v>4.0</v>
      </c>
      <c r="I73" s="1">
        <v>1.0</v>
      </c>
      <c r="J73" s="1">
        <v>9.0</v>
      </c>
      <c r="K73" s="1">
        <v>2.0</v>
      </c>
      <c r="L73" s="1">
        <v>0.8125</v>
      </c>
      <c r="M73" s="1">
        <v>0.6897</v>
      </c>
    </row>
    <row r="74">
      <c r="A74" s="1" t="s">
        <v>48</v>
      </c>
      <c r="B74" s="1" t="s">
        <v>29</v>
      </c>
      <c r="C74" s="1">
        <v>26.0</v>
      </c>
      <c r="D74" s="1">
        <v>0.6667</v>
      </c>
      <c r="E74" s="1">
        <v>0.8</v>
      </c>
      <c r="F74" s="1">
        <v>0.7273</v>
      </c>
      <c r="G74" s="10">
        <v>5.0</v>
      </c>
      <c r="H74" s="1">
        <v>4.0</v>
      </c>
      <c r="I74" s="1">
        <v>2.0</v>
      </c>
      <c r="J74" s="1">
        <v>19.0</v>
      </c>
      <c r="K74" s="1">
        <v>1.0</v>
      </c>
      <c r="L74" s="1">
        <v>0.8846</v>
      </c>
      <c r="M74" s="1">
        <v>0.7692</v>
      </c>
    </row>
    <row r="75">
      <c r="A75" s="1" t="s">
        <v>49</v>
      </c>
      <c r="B75" s="1" t="s">
        <v>29</v>
      </c>
      <c r="C75" s="1">
        <v>95.0</v>
      </c>
      <c r="D75" s="1">
        <v>0.7368</v>
      </c>
      <c r="E75" s="1">
        <v>0.7</v>
      </c>
      <c r="F75" s="1">
        <v>0.7179</v>
      </c>
      <c r="G75" s="10">
        <v>6.0</v>
      </c>
      <c r="H75" s="1">
        <v>14.0</v>
      </c>
      <c r="I75" s="1">
        <v>5.0</v>
      </c>
      <c r="J75" s="1">
        <v>70.0</v>
      </c>
      <c r="K75" s="1">
        <v>6.0</v>
      </c>
      <c r="L75" s="1">
        <v>0.8842</v>
      </c>
      <c r="M75" s="1">
        <v>0.7071</v>
      </c>
    </row>
    <row r="76">
      <c r="A76" s="1" t="s">
        <v>50</v>
      </c>
      <c r="B76" s="1" t="s">
        <v>29</v>
      </c>
      <c r="C76" s="1">
        <v>679.0</v>
      </c>
      <c r="D76" s="1">
        <v>0.7222</v>
      </c>
      <c r="E76" s="1">
        <v>0.6989</v>
      </c>
      <c r="F76" s="1">
        <v>0.7104</v>
      </c>
      <c r="G76" s="10">
        <v>7.0</v>
      </c>
      <c r="H76" s="1">
        <v>65.0</v>
      </c>
      <c r="I76" s="1">
        <v>25.0</v>
      </c>
      <c r="J76" s="1">
        <v>561.0</v>
      </c>
      <c r="K76" s="1">
        <v>28.0</v>
      </c>
      <c r="L76" s="1">
        <v>0.9219</v>
      </c>
      <c r="M76" s="1">
        <v>0.7035</v>
      </c>
    </row>
    <row r="77">
      <c r="A77" s="1" t="s">
        <v>43</v>
      </c>
      <c r="B77" s="1" t="s">
        <v>29</v>
      </c>
      <c r="C77" s="1">
        <v>194.0</v>
      </c>
      <c r="D77" s="1">
        <v>0.6667</v>
      </c>
      <c r="E77" s="1">
        <v>0.7391</v>
      </c>
      <c r="F77" s="1">
        <v>0.701</v>
      </c>
      <c r="G77" s="10">
        <v>8.0</v>
      </c>
      <c r="H77" s="1">
        <v>34.0</v>
      </c>
      <c r="I77" s="1">
        <v>17.0</v>
      </c>
      <c r="J77" s="1">
        <v>131.0</v>
      </c>
      <c r="K77" s="1">
        <v>12.0</v>
      </c>
      <c r="L77" s="1">
        <v>0.8505</v>
      </c>
      <c r="M77" s="1">
        <v>0.7234</v>
      </c>
    </row>
    <row r="78">
      <c r="A78" s="1" t="s">
        <v>44</v>
      </c>
      <c r="B78" s="1" t="s">
        <v>29</v>
      </c>
      <c r="C78" s="1">
        <v>65.0</v>
      </c>
      <c r="D78" s="1">
        <v>0.75</v>
      </c>
      <c r="E78" s="1">
        <v>0.6429</v>
      </c>
      <c r="F78" s="1">
        <v>0.6923</v>
      </c>
      <c r="G78" s="10">
        <v>9.0</v>
      </c>
      <c r="H78" s="1">
        <v>9.0</v>
      </c>
      <c r="I78" s="1">
        <v>3.0</v>
      </c>
      <c r="J78" s="1">
        <v>48.0</v>
      </c>
      <c r="K78" s="1">
        <v>5.0</v>
      </c>
      <c r="L78" s="1">
        <v>0.8769</v>
      </c>
      <c r="M78" s="1">
        <v>0.6618</v>
      </c>
    </row>
    <row r="79">
      <c r="A79" s="1" t="s">
        <v>51</v>
      </c>
      <c r="B79" s="1" t="s">
        <v>29</v>
      </c>
      <c r="C79" s="1">
        <v>662.0</v>
      </c>
      <c r="D79" s="1">
        <v>0.62</v>
      </c>
      <c r="E79" s="1">
        <v>0.7099</v>
      </c>
      <c r="F79" s="1">
        <v>0.6619</v>
      </c>
      <c r="G79" s="10">
        <v>10.0</v>
      </c>
      <c r="H79" s="1">
        <v>93.0</v>
      </c>
      <c r="I79" s="1">
        <v>57.0</v>
      </c>
      <c r="J79" s="1">
        <v>474.0</v>
      </c>
      <c r="K79" s="1">
        <v>38.0</v>
      </c>
      <c r="L79" s="1">
        <v>0.8565</v>
      </c>
      <c r="M79" s="1">
        <v>0.6899</v>
      </c>
    </row>
    <row r="80">
      <c r="A80" s="1" t="s">
        <v>56</v>
      </c>
      <c r="B80" s="1" t="s">
        <v>29</v>
      </c>
      <c r="C80" s="1">
        <v>446.0</v>
      </c>
      <c r="D80" s="1">
        <v>0.64</v>
      </c>
      <c r="E80" s="1">
        <v>0.6667</v>
      </c>
      <c r="F80" s="1">
        <v>0.6531</v>
      </c>
      <c r="G80" s="10">
        <v>11.0</v>
      </c>
      <c r="H80" s="1">
        <v>32.0</v>
      </c>
      <c r="I80" s="1">
        <v>18.0</v>
      </c>
      <c r="J80" s="1">
        <v>380.0</v>
      </c>
      <c r="K80" s="1">
        <v>16.0</v>
      </c>
      <c r="L80" s="1">
        <v>0.9238</v>
      </c>
      <c r="M80" s="1">
        <v>0.6612</v>
      </c>
    </row>
    <row r="81">
      <c r="A81" s="1" t="s">
        <v>53</v>
      </c>
      <c r="B81" s="1" t="s">
        <v>29</v>
      </c>
      <c r="C81" s="1">
        <v>897.0</v>
      </c>
      <c r="D81" s="1">
        <v>0.6</v>
      </c>
      <c r="E81" s="1">
        <v>0.7143</v>
      </c>
      <c r="F81" s="1">
        <v>0.6522</v>
      </c>
      <c r="G81" s="10">
        <v>12.0</v>
      </c>
      <c r="H81" s="1">
        <v>120.0</v>
      </c>
      <c r="I81" s="1">
        <v>80.0</v>
      </c>
      <c r="J81" s="1">
        <v>649.0</v>
      </c>
      <c r="K81" s="1">
        <v>48.0</v>
      </c>
      <c r="L81" s="1">
        <v>0.8573</v>
      </c>
      <c r="M81" s="1">
        <v>0.6881</v>
      </c>
    </row>
    <row r="82">
      <c r="A82" s="1" t="s">
        <v>52</v>
      </c>
      <c r="B82" s="1" t="s">
        <v>29</v>
      </c>
      <c r="C82" s="1">
        <v>587.0</v>
      </c>
      <c r="D82" s="1">
        <v>0.6017</v>
      </c>
      <c r="E82" s="1">
        <v>0.71</v>
      </c>
      <c r="F82" s="1">
        <v>0.6514</v>
      </c>
      <c r="G82" s="10">
        <v>13.0</v>
      </c>
      <c r="H82" s="1">
        <v>71.0</v>
      </c>
      <c r="I82" s="1">
        <v>47.0</v>
      </c>
      <c r="J82" s="1">
        <v>440.0</v>
      </c>
      <c r="K82" s="1">
        <v>29.0</v>
      </c>
      <c r="L82" s="1">
        <v>0.8705</v>
      </c>
      <c r="M82" s="1">
        <v>0.6853</v>
      </c>
    </row>
    <row r="83">
      <c r="A83" s="1" t="s">
        <v>57</v>
      </c>
      <c r="B83" s="1" t="s">
        <v>29</v>
      </c>
      <c r="C83" s="1">
        <v>153.0</v>
      </c>
      <c r="D83" s="1">
        <v>0.5294</v>
      </c>
      <c r="E83" s="1">
        <v>0.72</v>
      </c>
      <c r="F83" s="1">
        <v>0.6102</v>
      </c>
      <c r="G83" s="10">
        <v>14.0</v>
      </c>
      <c r="H83" s="1">
        <v>18.0</v>
      </c>
      <c r="I83" s="1">
        <v>16.0</v>
      </c>
      <c r="J83" s="1">
        <v>112.0</v>
      </c>
      <c r="K83" s="1">
        <v>7.0</v>
      </c>
      <c r="L83" s="1">
        <v>0.8497</v>
      </c>
      <c r="M83" s="1">
        <v>0.6716</v>
      </c>
    </row>
    <row r="84">
      <c r="A84" s="1" t="s">
        <v>55</v>
      </c>
      <c r="B84" s="1" t="s">
        <v>29</v>
      </c>
      <c r="C84" s="1">
        <v>469.0</v>
      </c>
      <c r="D84" s="1">
        <v>0.4783</v>
      </c>
      <c r="E84" s="1">
        <v>0.75</v>
      </c>
      <c r="F84" s="1">
        <v>0.5841</v>
      </c>
      <c r="G84" s="10">
        <v>15.0</v>
      </c>
      <c r="H84" s="1">
        <v>33.0</v>
      </c>
      <c r="I84" s="1">
        <v>36.0</v>
      </c>
      <c r="J84" s="1">
        <v>389.0</v>
      </c>
      <c r="K84" s="1">
        <v>11.0</v>
      </c>
      <c r="L84" s="1">
        <v>0.8998</v>
      </c>
      <c r="M84" s="1">
        <v>0.6735</v>
      </c>
    </row>
    <row r="85">
      <c r="A85" s="1" t="s">
        <v>58</v>
      </c>
      <c r="B85" s="1" t="s">
        <v>29</v>
      </c>
      <c r="C85" s="1">
        <v>117.0</v>
      </c>
      <c r="D85" s="1">
        <v>0.3929</v>
      </c>
      <c r="E85" s="1">
        <v>0.6471</v>
      </c>
      <c r="F85" s="1">
        <v>0.4889</v>
      </c>
      <c r="G85" s="10">
        <v>16.0</v>
      </c>
      <c r="H85" s="1">
        <v>11.0</v>
      </c>
      <c r="I85" s="1">
        <v>17.0</v>
      </c>
      <c r="J85" s="1">
        <v>83.0</v>
      </c>
      <c r="K85" s="1">
        <v>6.0</v>
      </c>
      <c r="L85" s="1">
        <v>0.8034</v>
      </c>
      <c r="M85" s="1">
        <v>0.5729</v>
      </c>
    </row>
    <row r="86">
      <c r="A86" s="1" t="s">
        <v>54</v>
      </c>
      <c r="B86" s="1" t="s">
        <v>29</v>
      </c>
      <c r="C86" s="1">
        <v>49.0</v>
      </c>
      <c r="D86" s="1">
        <v>0.0</v>
      </c>
      <c r="E86" s="1">
        <v>0.0</v>
      </c>
      <c r="F86" s="1">
        <v>0.0</v>
      </c>
      <c r="G86" s="10">
        <v>17.0</v>
      </c>
      <c r="H86" s="1">
        <v>0.0</v>
      </c>
      <c r="I86" s="1">
        <v>3.0</v>
      </c>
      <c r="J86" s="1">
        <v>41.0</v>
      </c>
      <c r="K86" s="1">
        <v>5.0</v>
      </c>
      <c r="L86" s="1">
        <v>0.8367</v>
      </c>
      <c r="M86" s="1">
        <v>0.0</v>
      </c>
    </row>
    <row r="87">
      <c r="A87" s="1" t="s">
        <v>42</v>
      </c>
      <c r="B87" s="1" t="s">
        <v>23</v>
      </c>
      <c r="C87" s="1">
        <v>16.0</v>
      </c>
      <c r="D87" s="1">
        <v>0.625</v>
      </c>
      <c r="E87" s="1">
        <v>0.8333</v>
      </c>
      <c r="F87" s="1">
        <v>0.7143</v>
      </c>
      <c r="G87" s="10">
        <v>1.0</v>
      </c>
      <c r="H87" s="1">
        <v>5.0</v>
      </c>
      <c r="I87" s="1">
        <v>3.0</v>
      </c>
      <c r="J87" s="1">
        <v>7.0</v>
      </c>
      <c r="K87" s="1">
        <v>1.0</v>
      </c>
      <c r="L87" s="1">
        <v>0.75</v>
      </c>
      <c r="M87" s="1">
        <v>0.7812</v>
      </c>
    </row>
    <row r="88">
      <c r="A88" s="1" t="s">
        <v>46</v>
      </c>
      <c r="B88" s="1" t="s">
        <v>23</v>
      </c>
      <c r="C88" s="1">
        <v>89.0</v>
      </c>
      <c r="D88" s="1">
        <v>0.5</v>
      </c>
      <c r="E88" s="1">
        <v>1.0</v>
      </c>
      <c r="F88" s="1">
        <v>0.6667</v>
      </c>
      <c r="G88" s="10">
        <v>2.0</v>
      </c>
      <c r="H88" s="1">
        <v>5.0</v>
      </c>
      <c r="I88" s="1">
        <v>5.0</v>
      </c>
      <c r="J88" s="1">
        <v>79.0</v>
      </c>
      <c r="K88" s="1">
        <v>0.0</v>
      </c>
      <c r="L88" s="1">
        <v>0.9438</v>
      </c>
      <c r="M88" s="1">
        <v>0.8333</v>
      </c>
    </row>
    <row r="89">
      <c r="A89" s="1" t="s">
        <v>43</v>
      </c>
      <c r="B89" s="1" t="s">
        <v>23</v>
      </c>
      <c r="C89" s="1">
        <v>194.0</v>
      </c>
      <c r="D89" s="1">
        <v>0.5217</v>
      </c>
      <c r="E89" s="1">
        <v>0.7826</v>
      </c>
      <c r="F89" s="1">
        <v>0.6261</v>
      </c>
      <c r="G89" s="10">
        <v>3.0</v>
      </c>
      <c r="H89" s="1">
        <v>36.0</v>
      </c>
      <c r="I89" s="1">
        <v>33.0</v>
      </c>
      <c r="J89" s="1">
        <v>115.0</v>
      </c>
      <c r="K89" s="1">
        <v>10.0</v>
      </c>
      <c r="L89" s="1">
        <v>0.7784</v>
      </c>
      <c r="M89" s="1">
        <v>0.7115</v>
      </c>
    </row>
    <row r="90">
      <c r="A90" s="1" t="s">
        <v>56</v>
      </c>
      <c r="B90" s="1" t="s">
        <v>23</v>
      </c>
      <c r="C90" s="1">
        <v>446.0</v>
      </c>
      <c r="D90" s="1">
        <v>0.473</v>
      </c>
      <c r="E90" s="1">
        <v>0.7292</v>
      </c>
      <c r="F90" s="1">
        <v>0.5738</v>
      </c>
      <c r="G90" s="10">
        <v>4.0</v>
      </c>
      <c r="H90" s="1">
        <v>35.0</v>
      </c>
      <c r="I90" s="1">
        <v>39.0</v>
      </c>
      <c r="J90" s="1">
        <v>359.0</v>
      </c>
      <c r="K90" s="1">
        <v>13.0</v>
      </c>
      <c r="L90" s="1">
        <v>0.8834</v>
      </c>
      <c r="M90" s="1">
        <v>0.6579</v>
      </c>
    </row>
    <row r="91">
      <c r="A91" s="1" t="s">
        <v>53</v>
      </c>
      <c r="B91" s="1" t="s">
        <v>23</v>
      </c>
      <c r="C91" s="1">
        <v>897.0</v>
      </c>
      <c r="D91" s="1">
        <v>0.4315</v>
      </c>
      <c r="E91" s="1">
        <v>0.75</v>
      </c>
      <c r="F91" s="1">
        <v>0.5478</v>
      </c>
      <c r="G91" s="10">
        <v>5.0</v>
      </c>
      <c r="H91" s="1">
        <v>126.0</v>
      </c>
      <c r="I91" s="1">
        <v>166.0</v>
      </c>
      <c r="J91" s="1">
        <v>563.0</v>
      </c>
      <c r="K91" s="1">
        <v>42.0</v>
      </c>
      <c r="L91" s="1">
        <v>0.7681</v>
      </c>
      <c r="M91" s="1">
        <v>0.6535</v>
      </c>
    </row>
    <row r="92">
      <c r="A92" s="1" t="s">
        <v>45</v>
      </c>
      <c r="B92" s="1" t="s">
        <v>23</v>
      </c>
      <c r="C92" s="1">
        <v>49.0</v>
      </c>
      <c r="D92" s="1">
        <v>0.5455</v>
      </c>
      <c r="E92" s="1">
        <v>0.5455</v>
      </c>
      <c r="F92" s="1">
        <v>0.5455</v>
      </c>
      <c r="G92" s="10">
        <v>6.0</v>
      </c>
      <c r="H92" s="1">
        <v>6.0</v>
      </c>
      <c r="I92" s="1">
        <v>5.0</v>
      </c>
      <c r="J92" s="1">
        <v>33.0</v>
      </c>
      <c r="K92" s="1">
        <v>5.0</v>
      </c>
      <c r="L92" s="1">
        <v>0.7959</v>
      </c>
      <c r="M92" s="1">
        <v>0.5455</v>
      </c>
    </row>
    <row r="93">
      <c r="A93" s="1" t="s">
        <v>47</v>
      </c>
      <c r="B93" s="1" t="s">
        <v>23</v>
      </c>
      <c r="C93" s="1">
        <v>274.0</v>
      </c>
      <c r="D93" s="1">
        <v>0.4706</v>
      </c>
      <c r="E93" s="1">
        <v>0.64</v>
      </c>
      <c r="F93" s="1">
        <v>0.5424</v>
      </c>
      <c r="G93" s="10">
        <v>7.0</v>
      </c>
      <c r="H93" s="1">
        <v>32.0</v>
      </c>
      <c r="I93" s="1">
        <v>36.0</v>
      </c>
      <c r="J93" s="1">
        <v>188.0</v>
      </c>
      <c r="K93" s="1">
        <v>18.0</v>
      </c>
      <c r="L93" s="1">
        <v>0.8029</v>
      </c>
      <c r="M93" s="1">
        <v>0.597</v>
      </c>
    </row>
    <row r="94">
      <c r="A94" s="1" t="s">
        <v>51</v>
      </c>
      <c r="B94" s="1" t="s">
        <v>23</v>
      </c>
      <c r="C94" s="1">
        <v>662.0</v>
      </c>
      <c r="D94" s="1">
        <v>0.4406</v>
      </c>
      <c r="E94" s="1">
        <v>0.6794</v>
      </c>
      <c r="F94" s="1">
        <v>0.5345</v>
      </c>
      <c r="G94" s="10">
        <v>8.0</v>
      </c>
      <c r="H94" s="1">
        <v>89.0</v>
      </c>
      <c r="I94" s="1">
        <v>113.0</v>
      </c>
      <c r="J94" s="1">
        <v>418.0</v>
      </c>
      <c r="K94" s="1">
        <v>42.0</v>
      </c>
      <c r="L94" s="1">
        <v>0.7659</v>
      </c>
      <c r="M94" s="1">
        <v>0.6129</v>
      </c>
    </row>
    <row r="95">
      <c r="A95" s="1" t="s">
        <v>50</v>
      </c>
      <c r="B95" s="1" t="s">
        <v>23</v>
      </c>
      <c r="C95" s="1">
        <v>679.0</v>
      </c>
      <c r="D95" s="1">
        <v>0.3951</v>
      </c>
      <c r="E95" s="1">
        <v>0.6882</v>
      </c>
      <c r="F95" s="1">
        <v>0.502</v>
      </c>
      <c r="G95" s="10">
        <v>9.0</v>
      </c>
      <c r="H95" s="1">
        <v>64.0</v>
      </c>
      <c r="I95" s="1">
        <v>98.0</v>
      </c>
      <c r="J95" s="1">
        <v>488.0</v>
      </c>
      <c r="K95" s="1">
        <v>29.0</v>
      </c>
      <c r="L95" s="1">
        <v>0.813</v>
      </c>
      <c r="M95" s="1">
        <v>0.5993</v>
      </c>
    </row>
    <row r="96">
      <c r="A96" s="1" t="s">
        <v>52</v>
      </c>
      <c r="B96" s="1" t="s">
        <v>23</v>
      </c>
      <c r="C96" s="1">
        <v>587.0</v>
      </c>
      <c r="D96" s="1">
        <v>0.3926</v>
      </c>
      <c r="E96" s="1">
        <v>0.64</v>
      </c>
      <c r="F96" s="1">
        <v>0.4867</v>
      </c>
      <c r="G96" s="10">
        <v>10.0</v>
      </c>
      <c r="H96" s="1">
        <v>64.0</v>
      </c>
      <c r="I96" s="1">
        <v>99.0</v>
      </c>
      <c r="J96" s="1">
        <v>388.0</v>
      </c>
      <c r="K96" s="1">
        <v>36.0</v>
      </c>
      <c r="L96" s="1">
        <v>0.77</v>
      </c>
      <c r="M96" s="1">
        <v>0.5684</v>
      </c>
    </row>
    <row r="97">
      <c r="A97" s="1" t="s">
        <v>44</v>
      </c>
      <c r="B97" s="1" t="s">
        <v>23</v>
      </c>
      <c r="C97" s="1">
        <v>65.0</v>
      </c>
      <c r="D97" s="1">
        <v>0.4667</v>
      </c>
      <c r="E97" s="1">
        <v>0.5</v>
      </c>
      <c r="F97" s="1">
        <v>0.4828</v>
      </c>
      <c r="G97" s="10">
        <v>11.0</v>
      </c>
      <c r="H97" s="1">
        <v>7.0</v>
      </c>
      <c r="I97" s="1">
        <v>8.0</v>
      </c>
      <c r="J97" s="1">
        <v>43.0</v>
      </c>
      <c r="K97" s="1">
        <v>7.0</v>
      </c>
      <c r="L97" s="1">
        <v>0.7692</v>
      </c>
      <c r="M97" s="1">
        <v>0.493</v>
      </c>
    </row>
    <row r="98">
      <c r="A98" s="1" t="s">
        <v>57</v>
      </c>
      <c r="B98" s="1" t="s">
        <v>23</v>
      </c>
      <c r="C98" s="1">
        <v>153.0</v>
      </c>
      <c r="D98" s="1">
        <v>0.381</v>
      </c>
      <c r="E98" s="1">
        <v>0.64</v>
      </c>
      <c r="F98" s="1">
        <v>0.4776</v>
      </c>
      <c r="G98" s="10">
        <v>12.0</v>
      </c>
      <c r="H98" s="1">
        <v>16.0</v>
      </c>
      <c r="I98" s="1">
        <v>26.0</v>
      </c>
      <c r="J98" s="1">
        <v>102.0</v>
      </c>
      <c r="K98" s="1">
        <v>9.0</v>
      </c>
      <c r="L98" s="1">
        <v>0.7712</v>
      </c>
      <c r="M98" s="1">
        <v>0.5634</v>
      </c>
    </row>
    <row r="99">
      <c r="A99" s="1" t="s">
        <v>49</v>
      </c>
      <c r="B99" s="1" t="s">
        <v>23</v>
      </c>
      <c r="C99" s="1">
        <v>95.0</v>
      </c>
      <c r="D99" s="1">
        <v>0.4286</v>
      </c>
      <c r="E99" s="1">
        <v>0.45</v>
      </c>
      <c r="F99" s="1">
        <v>0.439</v>
      </c>
      <c r="G99" s="10">
        <v>13.0</v>
      </c>
      <c r="H99" s="1">
        <v>9.0</v>
      </c>
      <c r="I99" s="1">
        <v>12.0</v>
      </c>
      <c r="J99" s="1">
        <v>63.0</v>
      </c>
      <c r="K99" s="1">
        <v>11.0</v>
      </c>
      <c r="L99" s="1">
        <v>0.7579</v>
      </c>
      <c r="M99" s="1">
        <v>0.4455</v>
      </c>
    </row>
    <row r="100">
      <c r="A100" s="1" t="s">
        <v>58</v>
      </c>
      <c r="B100" s="1" t="s">
        <v>23</v>
      </c>
      <c r="C100" s="1">
        <v>117.0</v>
      </c>
      <c r="D100" s="1">
        <v>0.2895</v>
      </c>
      <c r="E100" s="1">
        <v>0.6471</v>
      </c>
      <c r="F100" s="1">
        <v>0.4</v>
      </c>
      <c r="G100" s="10">
        <v>14.0</v>
      </c>
      <c r="H100" s="1">
        <v>11.0</v>
      </c>
      <c r="I100" s="1">
        <v>27.0</v>
      </c>
      <c r="J100" s="1">
        <v>73.0</v>
      </c>
      <c r="K100" s="1">
        <v>6.0</v>
      </c>
      <c r="L100" s="1">
        <v>0.7179</v>
      </c>
      <c r="M100" s="1">
        <v>0.5189</v>
      </c>
    </row>
    <row r="101">
      <c r="A101" s="1" t="s">
        <v>55</v>
      </c>
      <c r="B101" s="1" t="s">
        <v>23</v>
      </c>
      <c r="C101" s="1">
        <v>469.0</v>
      </c>
      <c r="D101" s="1">
        <v>0.2743</v>
      </c>
      <c r="E101" s="1">
        <v>0.7045</v>
      </c>
      <c r="F101" s="1">
        <v>0.3949</v>
      </c>
      <c r="G101" s="10">
        <v>15.0</v>
      </c>
      <c r="H101" s="1">
        <v>31.0</v>
      </c>
      <c r="I101" s="1">
        <v>82.0</v>
      </c>
      <c r="J101" s="1">
        <v>343.0</v>
      </c>
      <c r="K101" s="1">
        <v>13.0</v>
      </c>
      <c r="L101" s="1">
        <v>0.7974</v>
      </c>
      <c r="M101" s="1">
        <v>0.5363</v>
      </c>
    </row>
    <row r="102">
      <c r="A102" s="1" t="s">
        <v>54</v>
      </c>
      <c r="B102" s="1" t="s">
        <v>23</v>
      </c>
      <c r="C102" s="1">
        <v>49.0</v>
      </c>
      <c r="D102" s="1">
        <v>0.1875</v>
      </c>
      <c r="E102" s="1">
        <v>0.6</v>
      </c>
      <c r="F102" s="1">
        <v>0.2857</v>
      </c>
      <c r="G102" s="10">
        <v>16.0</v>
      </c>
      <c r="H102" s="1">
        <v>3.0</v>
      </c>
      <c r="I102" s="1">
        <v>13.0</v>
      </c>
      <c r="J102" s="1">
        <v>31.0</v>
      </c>
      <c r="K102" s="1">
        <v>2.0</v>
      </c>
      <c r="L102" s="1">
        <v>0.6939</v>
      </c>
      <c r="M102" s="1">
        <v>0.4167</v>
      </c>
    </row>
    <row r="103">
      <c r="A103" s="1" t="s">
        <v>48</v>
      </c>
      <c r="B103" s="1" t="s">
        <v>23</v>
      </c>
      <c r="C103" s="1">
        <v>26.0</v>
      </c>
      <c r="D103" s="1">
        <v>0.25</v>
      </c>
      <c r="E103" s="1">
        <v>0.2</v>
      </c>
      <c r="F103" s="1">
        <v>0.2222</v>
      </c>
      <c r="G103" s="10">
        <v>17.0</v>
      </c>
      <c r="H103" s="1">
        <v>1.0</v>
      </c>
      <c r="I103" s="1">
        <v>3.0</v>
      </c>
      <c r="J103" s="1">
        <v>18.0</v>
      </c>
      <c r="K103" s="1">
        <v>4.0</v>
      </c>
      <c r="L103" s="1">
        <v>0.7308</v>
      </c>
      <c r="M103" s="1">
        <v>0.2083</v>
      </c>
    </row>
    <row r="104">
      <c r="A104" s="1" t="s">
        <v>44</v>
      </c>
      <c r="B104" s="1" t="s">
        <v>19</v>
      </c>
      <c r="C104" s="1">
        <v>65.0</v>
      </c>
      <c r="D104" s="1">
        <v>0.8182</v>
      </c>
      <c r="E104" s="1">
        <v>0.6429</v>
      </c>
      <c r="F104" s="1">
        <v>0.72</v>
      </c>
      <c r="G104" s="10">
        <v>1.0</v>
      </c>
      <c r="H104" s="1">
        <v>9.0</v>
      </c>
      <c r="I104" s="1">
        <v>2.0</v>
      </c>
      <c r="J104" s="1">
        <v>49.0</v>
      </c>
      <c r="K104" s="1">
        <v>5.0</v>
      </c>
      <c r="L104" s="1">
        <v>0.8923</v>
      </c>
      <c r="M104" s="1">
        <v>0.6716</v>
      </c>
    </row>
    <row r="105">
      <c r="A105" s="1" t="s">
        <v>42</v>
      </c>
      <c r="B105" s="1" t="s">
        <v>19</v>
      </c>
      <c r="C105" s="1">
        <v>16.0</v>
      </c>
      <c r="D105" s="1">
        <v>1.0</v>
      </c>
      <c r="E105" s="1">
        <v>0.5</v>
      </c>
      <c r="F105" s="1">
        <v>0.6667</v>
      </c>
      <c r="G105" s="10">
        <v>2.0</v>
      </c>
      <c r="H105" s="1">
        <v>3.0</v>
      </c>
      <c r="I105" s="1">
        <v>0.0</v>
      </c>
      <c r="J105" s="1">
        <v>10.0</v>
      </c>
      <c r="K105" s="1">
        <v>3.0</v>
      </c>
      <c r="L105" s="1">
        <v>0.8125</v>
      </c>
      <c r="M105" s="1">
        <v>0.5556</v>
      </c>
    </row>
    <row r="106">
      <c r="A106" s="1" t="s">
        <v>47</v>
      </c>
      <c r="B106" s="1" t="s">
        <v>19</v>
      </c>
      <c r="C106" s="1">
        <v>274.0</v>
      </c>
      <c r="D106" s="1">
        <v>0.6591</v>
      </c>
      <c r="E106" s="1">
        <v>0.58</v>
      </c>
      <c r="F106" s="1">
        <v>0.617</v>
      </c>
      <c r="G106" s="10">
        <v>3.0</v>
      </c>
      <c r="H106" s="1">
        <v>29.0</v>
      </c>
      <c r="I106" s="1">
        <v>15.0</v>
      </c>
      <c r="J106" s="1">
        <v>209.0</v>
      </c>
      <c r="K106" s="1">
        <v>21.0</v>
      </c>
      <c r="L106" s="1">
        <v>0.8686</v>
      </c>
      <c r="M106" s="1">
        <v>0.5943</v>
      </c>
    </row>
    <row r="107">
      <c r="A107" s="1" t="s">
        <v>43</v>
      </c>
      <c r="B107" s="1" t="s">
        <v>19</v>
      </c>
      <c r="C107" s="1">
        <v>194.0</v>
      </c>
      <c r="D107" s="1">
        <v>0.5833</v>
      </c>
      <c r="E107" s="1">
        <v>0.6087</v>
      </c>
      <c r="F107" s="1">
        <v>0.5957</v>
      </c>
      <c r="G107" s="10">
        <v>4.0</v>
      </c>
      <c r="H107" s="1">
        <v>28.0</v>
      </c>
      <c r="I107" s="1">
        <v>20.0</v>
      </c>
      <c r="J107" s="1">
        <v>128.0</v>
      </c>
      <c r="K107" s="1">
        <v>18.0</v>
      </c>
      <c r="L107" s="1">
        <v>0.8041</v>
      </c>
      <c r="M107" s="1">
        <v>0.6034</v>
      </c>
    </row>
    <row r="108">
      <c r="A108" s="1" t="s">
        <v>51</v>
      </c>
      <c r="B108" s="1" t="s">
        <v>19</v>
      </c>
      <c r="C108" s="1">
        <v>662.0</v>
      </c>
      <c r="D108" s="1">
        <v>0.5806</v>
      </c>
      <c r="E108" s="1">
        <v>0.5496</v>
      </c>
      <c r="F108" s="1">
        <v>0.5647</v>
      </c>
      <c r="G108" s="10">
        <v>5.0</v>
      </c>
      <c r="H108" s="1">
        <v>72.0</v>
      </c>
      <c r="I108" s="1">
        <v>52.0</v>
      </c>
      <c r="J108" s="1">
        <v>479.0</v>
      </c>
      <c r="K108" s="1">
        <v>59.0</v>
      </c>
      <c r="L108" s="1">
        <v>0.8323</v>
      </c>
      <c r="M108" s="1">
        <v>0.5556</v>
      </c>
    </row>
    <row r="109">
      <c r="A109" s="1" t="s">
        <v>57</v>
      </c>
      <c r="B109" s="1" t="s">
        <v>19</v>
      </c>
      <c r="C109" s="1">
        <v>153.0</v>
      </c>
      <c r="D109" s="1">
        <v>0.56</v>
      </c>
      <c r="E109" s="1">
        <v>0.56</v>
      </c>
      <c r="F109" s="1">
        <v>0.56</v>
      </c>
      <c r="G109" s="10">
        <v>6.0</v>
      </c>
      <c r="H109" s="1">
        <v>14.0</v>
      </c>
      <c r="I109" s="1">
        <v>11.0</v>
      </c>
      <c r="J109" s="1">
        <v>117.0</v>
      </c>
      <c r="K109" s="1">
        <v>11.0</v>
      </c>
      <c r="L109" s="1">
        <v>0.8562</v>
      </c>
      <c r="M109" s="1">
        <v>0.56</v>
      </c>
    </row>
    <row r="110">
      <c r="A110" s="1" t="s">
        <v>53</v>
      </c>
      <c r="B110" s="1" t="s">
        <v>19</v>
      </c>
      <c r="C110" s="1">
        <v>897.0</v>
      </c>
      <c r="D110" s="1">
        <v>0.5359</v>
      </c>
      <c r="E110" s="1">
        <v>0.5774</v>
      </c>
      <c r="F110" s="1">
        <v>0.5559</v>
      </c>
      <c r="G110" s="10">
        <v>7.0</v>
      </c>
      <c r="H110" s="1">
        <v>97.0</v>
      </c>
      <c r="I110" s="1">
        <v>84.0</v>
      </c>
      <c r="J110" s="1">
        <v>645.0</v>
      </c>
      <c r="K110" s="1">
        <v>71.0</v>
      </c>
      <c r="L110" s="1">
        <v>0.8272</v>
      </c>
      <c r="M110" s="1">
        <v>0.5686</v>
      </c>
    </row>
    <row r="111">
      <c r="A111" s="1" t="s">
        <v>50</v>
      </c>
      <c r="B111" s="1" t="s">
        <v>19</v>
      </c>
      <c r="C111" s="1">
        <v>679.0</v>
      </c>
      <c r="D111" s="1">
        <v>0.5</v>
      </c>
      <c r="E111" s="1">
        <v>0.5806</v>
      </c>
      <c r="F111" s="1">
        <v>0.5373</v>
      </c>
      <c r="G111" s="10">
        <v>8.0</v>
      </c>
      <c r="H111" s="1">
        <v>54.0</v>
      </c>
      <c r="I111" s="1">
        <v>54.0</v>
      </c>
      <c r="J111" s="1">
        <v>532.0</v>
      </c>
      <c r="K111" s="1">
        <v>39.0</v>
      </c>
      <c r="L111" s="1">
        <v>0.863</v>
      </c>
      <c r="M111" s="1">
        <v>0.5625</v>
      </c>
    </row>
    <row r="112">
      <c r="A112" s="1" t="s">
        <v>45</v>
      </c>
      <c r="B112" s="1" t="s">
        <v>19</v>
      </c>
      <c r="C112" s="1">
        <v>49.0</v>
      </c>
      <c r="D112" s="1">
        <v>0.5556</v>
      </c>
      <c r="E112" s="1">
        <v>0.4545</v>
      </c>
      <c r="F112" s="1">
        <v>0.5</v>
      </c>
      <c r="G112" s="10">
        <v>9.0</v>
      </c>
      <c r="H112" s="1">
        <v>5.0</v>
      </c>
      <c r="I112" s="1">
        <v>4.0</v>
      </c>
      <c r="J112" s="1">
        <v>34.0</v>
      </c>
      <c r="K112" s="1">
        <v>6.0</v>
      </c>
      <c r="L112" s="1">
        <v>0.7959</v>
      </c>
      <c r="M112" s="1">
        <v>0.4717</v>
      </c>
    </row>
    <row r="113">
      <c r="A113" s="1" t="s">
        <v>52</v>
      </c>
      <c r="B113" s="1" t="s">
        <v>19</v>
      </c>
      <c r="C113" s="1">
        <v>587.0</v>
      </c>
      <c r="D113" s="1">
        <v>0.4771</v>
      </c>
      <c r="E113" s="1">
        <v>0.52</v>
      </c>
      <c r="F113" s="1">
        <v>0.4976</v>
      </c>
      <c r="G113" s="10">
        <v>10.0</v>
      </c>
      <c r="H113" s="1">
        <v>52.0</v>
      </c>
      <c r="I113" s="1">
        <v>57.0</v>
      </c>
      <c r="J113" s="1">
        <v>430.0</v>
      </c>
      <c r="K113" s="1">
        <v>48.0</v>
      </c>
      <c r="L113" s="1">
        <v>0.8211</v>
      </c>
      <c r="M113" s="1">
        <v>0.5108</v>
      </c>
    </row>
    <row r="114">
      <c r="A114" s="1" t="s">
        <v>56</v>
      </c>
      <c r="B114" s="1" t="s">
        <v>19</v>
      </c>
      <c r="C114" s="1">
        <v>446.0</v>
      </c>
      <c r="D114" s="1">
        <v>0.4706</v>
      </c>
      <c r="E114" s="1">
        <v>0.5</v>
      </c>
      <c r="F114" s="1">
        <v>0.4848</v>
      </c>
      <c r="G114" s="10">
        <v>11.0</v>
      </c>
      <c r="H114" s="1">
        <v>24.0</v>
      </c>
      <c r="I114" s="1">
        <v>27.0</v>
      </c>
      <c r="J114" s="1">
        <v>371.0</v>
      </c>
      <c r="K114" s="1">
        <v>24.0</v>
      </c>
      <c r="L114" s="1">
        <v>0.8857</v>
      </c>
      <c r="M114" s="1">
        <v>0.4938</v>
      </c>
    </row>
    <row r="115">
      <c r="A115" s="1" t="s">
        <v>48</v>
      </c>
      <c r="B115" s="1" t="s">
        <v>19</v>
      </c>
      <c r="C115" s="1">
        <v>26.0</v>
      </c>
      <c r="D115" s="1">
        <v>0.375</v>
      </c>
      <c r="E115" s="1">
        <v>0.6</v>
      </c>
      <c r="F115" s="1">
        <v>0.4615</v>
      </c>
      <c r="G115" s="10">
        <v>12.0</v>
      </c>
      <c r="H115" s="1">
        <v>3.0</v>
      </c>
      <c r="I115" s="1">
        <v>5.0</v>
      </c>
      <c r="J115" s="1">
        <v>16.0</v>
      </c>
      <c r="K115" s="1">
        <v>2.0</v>
      </c>
      <c r="L115" s="1">
        <v>0.7308</v>
      </c>
      <c r="M115" s="1">
        <v>0.5357</v>
      </c>
    </row>
    <row r="116">
      <c r="A116" s="1" t="s">
        <v>55</v>
      </c>
      <c r="B116" s="1" t="s">
        <v>19</v>
      </c>
      <c r="C116" s="1">
        <v>469.0</v>
      </c>
      <c r="D116" s="1">
        <v>0.3768</v>
      </c>
      <c r="E116" s="1">
        <v>0.5909</v>
      </c>
      <c r="F116" s="1">
        <v>0.4602</v>
      </c>
      <c r="G116" s="10">
        <v>13.0</v>
      </c>
      <c r="H116" s="1">
        <v>26.0</v>
      </c>
      <c r="I116" s="1">
        <v>43.0</v>
      </c>
      <c r="J116" s="1">
        <v>382.0</v>
      </c>
      <c r="K116" s="1">
        <v>18.0</v>
      </c>
      <c r="L116" s="1">
        <v>0.8699</v>
      </c>
      <c r="M116" s="1">
        <v>0.5306</v>
      </c>
    </row>
    <row r="117">
      <c r="A117" s="1" t="s">
        <v>49</v>
      </c>
      <c r="B117" s="1" t="s">
        <v>19</v>
      </c>
      <c r="C117" s="1">
        <v>95.0</v>
      </c>
      <c r="D117" s="1">
        <v>0.6364</v>
      </c>
      <c r="E117" s="1">
        <v>0.35</v>
      </c>
      <c r="F117" s="1">
        <v>0.4516</v>
      </c>
      <c r="G117" s="10">
        <v>14.0</v>
      </c>
      <c r="H117" s="1">
        <v>7.0</v>
      </c>
      <c r="I117" s="1">
        <v>4.0</v>
      </c>
      <c r="J117" s="1">
        <v>71.0</v>
      </c>
      <c r="K117" s="1">
        <v>13.0</v>
      </c>
      <c r="L117" s="1">
        <v>0.8211</v>
      </c>
      <c r="M117" s="1">
        <v>0.3846</v>
      </c>
    </row>
    <row r="118">
      <c r="A118" s="1" t="s">
        <v>54</v>
      </c>
      <c r="B118" s="1" t="s">
        <v>19</v>
      </c>
      <c r="C118" s="1">
        <v>49.0</v>
      </c>
      <c r="D118" s="1">
        <v>0.3333</v>
      </c>
      <c r="E118" s="1">
        <v>0.4</v>
      </c>
      <c r="F118" s="1">
        <v>0.3636</v>
      </c>
      <c r="G118" s="10">
        <v>15.0</v>
      </c>
      <c r="H118" s="1">
        <v>2.0</v>
      </c>
      <c r="I118" s="1">
        <v>4.0</v>
      </c>
      <c r="J118" s="1">
        <v>40.0</v>
      </c>
      <c r="K118" s="1">
        <v>3.0</v>
      </c>
      <c r="L118" s="1">
        <v>0.8571</v>
      </c>
      <c r="M118" s="1">
        <v>0.3846</v>
      </c>
    </row>
    <row r="119">
      <c r="A119" s="1" t="s">
        <v>58</v>
      </c>
      <c r="B119" s="1" t="s">
        <v>19</v>
      </c>
      <c r="C119" s="1">
        <v>117.0</v>
      </c>
      <c r="D119" s="1">
        <v>0.3158</v>
      </c>
      <c r="E119" s="1">
        <v>0.3529</v>
      </c>
      <c r="F119" s="1">
        <v>0.3333</v>
      </c>
      <c r="G119" s="10">
        <v>16.0</v>
      </c>
      <c r="H119" s="1">
        <v>6.0</v>
      </c>
      <c r="I119" s="1">
        <v>13.0</v>
      </c>
      <c r="J119" s="1">
        <v>87.0</v>
      </c>
      <c r="K119" s="1">
        <v>11.0</v>
      </c>
      <c r="L119" s="1">
        <v>0.7949</v>
      </c>
      <c r="M119" s="1">
        <v>0.3448</v>
      </c>
    </row>
    <row r="120">
      <c r="A120" s="1" t="s">
        <v>46</v>
      </c>
      <c r="B120" s="1" t="s">
        <v>19</v>
      </c>
      <c r="C120" s="1">
        <v>89.0</v>
      </c>
      <c r="D120" s="1">
        <v>0.2</v>
      </c>
      <c r="E120" s="1">
        <v>0.2</v>
      </c>
      <c r="F120" s="1">
        <v>0.2</v>
      </c>
      <c r="G120" s="10">
        <v>17.0</v>
      </c>
      <c r="H120" s="1">
        <v>1.0</v>
      </c>
      <c r="I120" s="1">
        <v>4.0</v>
      </c>
      <c r="J120" s="1">
        <v>80.0</v>
      </c>
      <c r="K120" s="1">
        <v>4.0</v>
      </c>
      <c r="L120" s="1">
        <v>0.9101</v>
      </c>
      <c r="M120" s="1">
        <v>0.2</v>
      </c>
    </row>
    <row r="121">
      <c r="A121" s="1" t="s">
        <v>44</v>
      </c>
      <c r="B121" s="1" t="s">
        <v>21</v>
      </c>
      <c r="C121" s="1">
        <v>65.0</v>
      </c>
      <c r="D121" s="1">
        <v>0.8889</v>
      </c>
      <c r="E121" s="1">
        <v>0.5714</v>
      </c>
      <c r="F121" s="1">
        <v>0.6957</v>
      </c>
      <c r="G121" s="10">
        <v>1.0</v>
      </c>
      <c r="H121" s="1">
        <v>8.0</v>
      </c>
      <c r="I121" s="1">
        <v>1.0</v>
      </c>
      <c r="J121" s="1">
        <v>50.0</v>
      </c>
      <c r="K121" s="1">
        <v>6.0</v>
      </c>
      <c r="L121" s="1">
        <v>0.8923</v>
      </c>
      <c r="M121" s="1">
        <v>0.6154</v>
      </c>
    </row>
    <row r="122">
      <c r="A122" s="1" t="s">
        <v>47</v>
      </c>
      <c r="B122" s="1" t="s">
        <v>21</v>
      </c>
      <c r="C122" s="1">
        <v>274.0</v>
      </c>
      <c r="D122" s="1">
        <v>0.9032</v>
      </c>
      <c r="E122" s="1">
        <v>0.56</v>
      </c>
      <c r="F122" s="1">
        <v>0.6914</v>
      </c>
      <c r="G122" s="10">
        <v>2.0</v>
      </c>
      <c r="H122" s="1">
        <v>28.0</v>
      </c>
      <c r="I122" s="1">
        <v>3.0</v>
      </c>
      <c r="J122" s="1">
        <v>221.0</v>
      </c>
      <c r="K122" s="1">
        <v>22.0</v>
      </c>
      <c r="L122" s="1">
        <v>0.9088</v>
      </c>
      <c r="M122" s="1">
        <v>0.6061</v>
      </c>
    </row>
    <row r="123">
      <c r="A123" s="1" t="s">
        <v>45</v>
      </c>
      <c r="B123" s="1" t="s">
        <v>21</v>
      </c>
      <c r="C123" s="1">
        <v>49.0</v>
      </c>
      <c r="D123" s="1">
        <v>1.0</v>
      </c>
      <c r="E123" s="1">
        <v>0.4545</v>
      </c>
      <c r="F123" s="1">
        <v>0.625</v>
      </c>
      <c r="G123" s="10">
        <v>3.0</v>
      </c>
      <c r="H123" s="1">
        <v>5.0</v>
      </c>
      <c r="I123" s="1">
        <v>0.0</v>
      </c>
      <c r="J123" s="1">
        <v>38.0</v>
      </c>
      <c r="K123" s="1">
        <v>6.0</v>
      </c>
      <c r="L123" s="1">
        <v>0.8776</v>
      </c>
      <c r="M123" s="1">
        <v>0.5102</v>
      </c>
    </row>
    <row r="124">
      <c r="A124" s="1" t="s">
        <v>49</v>
      </c>
      <c r="B124" s="1" t="s">
        <v>21</v>
      </c>
      <c r="C124" s="1">
        <v>95.0</v>
      </c>
      <c r="D124" s="1">
        <v>0.7692</v>
      </c>
      <c r="E124" s="1">
        <v>0.5</v>
      </c>
      <c r="F124" s="1">
        <v>0.6061</v>
      </c>
      <c r="G124" s="10">
        <v>4.0</v>
      </c>
      <c r="H124" s="1">
        <v>10.0</v>
      </c>
      <c r="I124" s="1">
        <v>3.0</v>
      </c>
      <c r="J124" s="1">
        <v>72.0</v>
      </c>
      <c r="K124" s="1">
        <v>10.0</v>
      </c>
      <c r="L124" s="1">
        <v>0.8632</v>
      </c>
      <c r="M124" s="1">
        <v>0.5376</v>
      </c>
    </row>
    <row r="125">
      <c r="A125" s="1" t="s">
        <v>48</v>
      </c>
      <c r="B125" s="1" t="s">
        <v>21</v>
      </c>
      <c r="C125" s="1">
        <v>26.0</v>
      </c>
      <c r="D125" s="1">
        <v>0.6</v>
      </c>
      <c r="E125" s="1">
        <v>0.6</v>
      </c>
      <c r="F125" s="1">
        <v>0.6</v>
      </c>
      <c r="G125" s="10">
        <v>5.0</v>
      </c>
      <c r="H125" s="1">
        <v>3.0</v>
      </c>
      <c r="I125" s="1">
        <v>2.0</v>
      </c>
      <c r="J125" s="1">
        <v>19.0</v>
      </c>
      <c r="K125" s="1">
        <v>2.0</v>
      </c>
      <c r="L125" s="1">
        <v>0.8462</v>
      </c>
      <c r="M125" s="1">
        <v>0.6</v>
      </c>
    </row>
    <row r="126">
      <c r="A126" s="1" t="s">
        <v>55</v>
      </c>
      <c r="B126" s="1" t="s">
        <v>21</v>
      </c>
      <c r="C126" s="1">
        <v>469.0</v>
      </c>
      <c r="D126" s="1">
        <v>0.6047</v>
      </c>
      <c r="E126" s="1">
        <v>0.5909</v>
      </c>
      <c r="F126" s="1">
        <v>0.5977</v>
      </c>
      <c r="G126" s="10">
        <v>6.0</v>
      </c>
      <c r="H126" s="1">
        <v>26.0</v>
      </c>
      <c r="I126" s="1">
        <v>17.0</v>
      </c>
      <c r="J126" s="1">
        <v>408.0</v>
      </c>
      <c r="K126" s="1">
        <v>18.0</v>
      </c>
      <c r="L126" s="1">
        <v>0.9254</v>
      </c>
      <c r="M126" s="1">
        <v>0.5936</v>
      </c>
    </row>
    <row r="127">
      <c r="A127" s="1" t="s">
        <v>56</v>
      </c>
      <c r="B127" s="1" t="s">
        <v>21</v>
      </c>
      <c r="C127" s="1">
        <v>446.0</v>
      </c>
      <c r="D127" s="1">
        <v>0.6667</v>
      </c>
      <c r="E127" s="1">
        <v>0.5</v>
      </c>
      <c r="F127" s="1">
        <v>0.5714</v>
      </c>
      <c r="G127" s="10">
        <v>7.0</v>
      </c>
      <c r="H127" s="1">
        <v>24.0</v>
      </c>
      <c r="I127" s="1">
        <v>12.0</v>
      </c>
      <c r="J127" s="1">
        <v>386.0</v>
      </c>
      <c r="K127" s="1">
        <v>24.0</v>
      </c>
      <c r="L127" s="1">
        <v>0.9193</v>
      </c>
      <c r="M127" s="1">
        <v>0.5263</v>
      </c>
    </row>
    <row r="128">
      <c r="A128" s="1" t="s">
        <v>57</v>
      </c>
      <c r="B128" s="1" t="s">
        <v>21</v>
      </c>
      <c r="C128" s="1">
        <v>153.0</v>
      </c>
      <c r="D128" s="1">
        <v>0.5909</v>
      </c>
      <c r="E128" s="1">
        <v>0.52</v>
      </c>
      <c r="F128" s="1">
        <v>0.5532</v>
      </c>
      <c r="G128" s="10">
        <v>8.0</v>
      </c>
      <c r="H128" s="1">
        <v>13.0</v>
      </c>
      <c r="I128" s="1">
        <v>9.0</v>
      </c>
      <c r="J128" s="1">
        <v>119.0</v>
      </c>
      <c r="K128" s="1">
        <v>12.0</v>
      </c>
      <c r="L128" s="1">
        <v>0.8627</v>
      </c>
      <c r="M128" s="1">
        <v>0.5328</v>
      </c>
    </row>
    <row r="129">
      <c r="A129" s="1" t="s">
        <v>53</v>
      </c>
      <c r="B129" s="1" t="s">
        <v>21</v>
      </c>
      <c r="C129" s="1">
        <v>897.0</v>
      </c>
      <c r="D129" s="1">
        <v>0.6452</v>
      </c>
      <c r="E129" s="1">
        <v>0.4762</v>
      </c>
      <c r="F129" s="1">
        <v>0.5479</v>
      </c>
      <c r="G129" s="10">
        <v>9.0</v>
      </c>
      <c r="H129" s="1">
        <v>80.0</v>
      </c>
      <c r="I129" s="1">
        <v>44.0</v>
      </c>
      <c r="J129" s="1">
        <v>685.0</v>
      </c>
      <c r="K129" s="1">
        <v>88.0</v>
      </c>
      <c r="L129" s="1">
        <v>0.8528</v>
      </c>
      <c r="M129" s="1">
        <v>0.5025</v>
      </c>
    </row>
    <row r="130">
      <c r="A130" s="1" t="s">
        <v>50</v>
      </c>
      <c r="B130" s="1" t="s">
        <v>21</v>
      </c>
      <c r="C130" s="1">
        <v>679.0</v>
      </c>
      <c r="D130" s="1">
        <v>0.6774</v>
      </c>
      <c r="E130" s="1">
        <v>0.4516</v>
      </c>
      <c r="F130" s="1">
        <v>0.5419</v>
      </c>
      <c r="G130" s="10">
        <v>10.0</v>
      </c>
      <c r="H130" s="1">
        <v>42.0</v>
      </c>
      <c r="I130" s="1">
        <v>20.0</v>
      </c>
      <c r="J130" s="1">
        <v>566.0</v>
      </c>
      <c r="K130" s="1">
        <v>51.0</v>
      </c>
      <c r="L130" s="1">
        <v>0.8954</v>
      </c>
      <c r="M130" s="1">
        <v>0.4839</v>
      </c>
    </row>
    <row r="131">
      <c r="A131" s="1" t="s">
        <v>51</v>
      </c>
      <c r="B131" s="1" t="s">
        <v>21</v>
      </c>
      <c r="C131" s="1">
        <v>662.0</v>
      </c>
      <c r="D131" s="1">
        <v>0.6588</v>
      </c>
      <c r="E131" s="1">
        <v>0.4275</v>
      </c>
      <c r="F131" s="1">
        <v>0.5185</v>
      </c>
      <c r="G131" s="10">
        <v>11.0</v>
      </c>
      <c r="H131" s="1">
        <v>56.0</v>
      </c>
      <c r="I131" s="1">
        <v>29.0</v>
      </c>
      <c r="J131" s="1">
        <v>502.0</v>
      </c>
      <c r="K131" s="1">
        <v>75.0</v>
      </c>
      <c r="L131" s="1">
        <v>0.8429</v>
      </c>
      <c r="M131" s="1">
        <v>0.4598</v>
      </c>
    </row>
    <row r="132">
      <c r="A132" s="1" t="s">
        <v>52</v>
      </c>
      <c r="B132" s="1" t="s">
        <v>21</v>
      </c>
      <c r="C132" s="1">
        <v>587.0</v>
      </c>
      <c r="D132" s="1">
        <v>0.7018</v>
      </c>
      <c r="E132" s="1">
        <v>0.4</v>
      </c>
      <c r="F132" s="1">
        <v>0.5096</v>
      </c>
      <c r="G132" s="10">
        <v>12.0</v>
      </c>
      <c r="H132" s="1">
        <v>40.0</v>
      </c>
      <c r="I132" s="1">
        <v>17.0</v>
      </c>
      <c r="J132" s="1">
        <v>470.0</v>
      </c>
      <c r="K132" s="1">
        <v>60.0</v>
      </c>
      <c r="L132" s="1">
        <v>0.8688</v>
      </c>
      <c r="M132" s="1">
        <v>0.4376</v>
      </c>
    </row>
    <row r="133">
      <c r="A133" s="1" t="s">
        <v>54</v>
      </c>
      <c r="B133" s="1" t="s">
        <v>21</v>
      </c>
      <c r="C133" s="1">
        <v>49.0</v>
      </c>
      <c r="D133" s="1">
        <v>0.6667</v>
      </c>
      <c r="E133" s="1">
        <v>0.4</v>
      </c>
      <c r="F133" s="1">
        <v>0.5</v>
      </c>
      <c r="G133" s="10">
        <v>13.0</v>
      </c>
      <c r="H133" s="1">
        <v>2.0</v>
      </c>
      <c r="I133" s="1">
        <v>1.0</v>
      </c>
      <c r="J133" s="1">
        <v>43.0</v>
      </c>
      <c r="K133" s="1">
        <v>3.0</v>
      </c>
      <c r="L133" s="1">
        <v>0.9184</v>
      </c>
      <c r="M133" s="1">
        <v>0.4348</v>
      </c>
    </row>
    <row r="134">
      <c r="A134" s="1" t="s">
        <v>43</v>
      </c>
      <c r="B134" s="1" t="s">
        <v>21</v>
      </c>
      <c r="C134" s="1">
        <v>194.0</v>
      </c>
      <c r="D134" s="1">
        <v>0.7273</v>
      </c>
      <c r="E134" s="1">
        <v>0.3478</v>
      </c>
      <c r="F134" s="1">
        <v>0.4706</v>
      </c>
      <c r="G134" s="10">
        <v>14.0</v>
      </c>
      <c r="H134" s="1">
        <v>16.0</v>
      </c>
      <c r="I134" s="1">
        <v>6.0</v>
      </c>
      <c r="J134" s="1">
        <v>142.0</v>
      </c>
      <c r="K134" s="1">
        <v>30.0</v>
      </c>
      <c r="L134" s="1">
        <v>0.8144</v>
      </c>
      <c r="M134" s="1">
        <v>0.3883</v>
      </c>
    </row>
    <row r="135">
      <c r="A135" s="1" t="s">
        <v>42</v>
      </c>
      <c r="B135" s="1" t="s">
        <v>21</v>
      </c>
      <c r="C135" s="1">
        <v>16.0</v>
      </c>
      <c r="D135" s="1">
        <v>0.6667</v>
      </c>
      <c r="E135" s="1">
        <v>0.3333</v>
      </c>
      <c r="F135" s="1">
        <v>0.4444</v>
      </c>
      <c r="G135" s="10">
        <v>15.0</v>
      </c>
      <c r="H135" s="1">
        <v>2.0</v>
      </c>
      <c r="I135" s="1">
        <v>1.0</v>
      </c>
      <c r="J135" s="1">
        <v>9.0</v>
      </c>
      <c r="K135" s="1">
        <v>4.0</v>
      </c>
      <c r="L135" s="1">
        <v>0.6875</v>
      </c>
      <c r="M135" s="1">
        <v>0.3704</v>
      </c>
    </row>
    <row r="136">
      <c r="A136" s="1" t="s">
        <v>46</v>
      </c>
      <c r="B136" s="1" t="s">
        <v>21</v>
      </c>
      <c r="C136" s="1">
        <v>89.0</v>
      </c>
      <c r="D136" s="1">
        <v>0.5</v>
      </c>
      <c r="E136" s="1">
        <v>0.4</v>
      </c>
      <c r="F136" s="1">
        <v>0.4444</v>
      </c>
      <c r="G136" s="10">
        <v>16.0</v>
      </c>
      <c r="H136" s="1">
        <v>2.0</v>
      </c>
      <c r="I136" s="1">
        <v>2.0</v>
      </c>
      <c r="J136" s="1">
        <v>82.0</v>
      </c>
      <c r="K136" s="1">
        <v>3.0</v>
      </c>
      <c r="L136" s="1">
        <v>0.9438</v>
      </c>
      <c r="M136" s="1">
        <v>0.4167</v>
      </c>
    </row>
    <row r="137">
      <c r="A137" s="1" t="s">
        <v>58</v>
      </c>
      <c r="B137" s="1" t="s">
        <v>21</v>
      </c>
      <c r="C137" s="1">
        <v>117.0</v>
      </c>
      <c r="D137" s="1">
        <v>0.4286</v>
      </c>
      <c r="E137" s="1">
        <v>0.1765</v>
      </c>
      <c r="F137" s="1">
        <v>0.25</v>
      </c>
      <c r="G137" s="10">
        <v>17.0</v>
      </c>
      <c r="H137" s="1">
        <v>3.0</v>
      </c>
      <c r="I137" s="1">
        <v>4.0</v>
      </c>
      <c r="J137" s="1">
        <v>96.0</v>
      </c>
      <c r="K137" s="1">
        <v>14.0</v>
      </c>
      <c r="L137" s="1">
        <v>0.8462</v>
      </c>
      <c r="M137" s="1">
        <v>0.2</v>
      </c>
    </row>
    <row r="138">
      <c r="A138" s="1" t="s">
        <v>48</v>
      </c>
      <c r="B138" s="1" t="s">
        <v>24</v>
      </c>
      <c r="C138" s="1">
        <v>26.0</v>
      </c>
      <c r="D138" s="1">
        <v>0.8</v>
      </c>
      <c r="E138" s="1">
        <v>0.8</v>
      </c>
      <c r="F138" s="1">
        <v>0.8</v>
      </c>
      <c r="G138" s="10">
        <v>1.0</v>
      </c>
      <c r="H138" s="1">
        <v>4.0</v>
      </c>
      <c r="I138" s="1">
        <v>1.0</v>
      </c>
      <c r="J138" s="1">
        <v>20.0</v>
      </c>
      <c r="K138" s="1">
        <v>1.0</v>
      </c>
      <c r="L138" s="1">
        <v>0.9231</v>
      </c>
      <c r="M138" s="1">
        <v>0.8</v>
      </c>
    </row>
    <row r="139">
      <c r="A139" s="1" t="s">
        <v>42</v>
      </c>
      <c r="B139" s="1" t="s">
        <v>24</v>
      </c>
      <c r="C139" s="1">
        <v>16.0</v>
      </c>
      <c r="D139" s="1">
        <v>0.7143</v>
      </c>
      <c r="E139" s="1">
        <v>0.8333</v>
      </c>
      <c r="F139" s="1">
        <v>0.7692</v>
      </c>
      <c r="G139" s="10">
        <v>2.0</v>
      </c>
      <c r="H139" s="1">
        <v>5.0</v>
      </c>
      <c r="I139" s="1">
        <v>2.0</v>
      </c>
      <c r="J139" s="1">
        <v>8.0</v>
      </c>
      <c r="K139" s="1">
        <v>1.0</v>
      </c>
      <c r="L139" s="1">
        <v>0.8125</v>
      </c>
      <c r="M139" s="1">
        <v>0.8065</v>
      </c>
    </row>
    <row r="140">
      <c r="A140" s="1" t="s">
        <v>43</v>
      </c>
      <c r="B140" s="1" t="s">
        <v>24</v>
      </c>
      <c r="C140" s="1">
        <v>194.0</v>
      </c>
      <c r="D140" s="1">
        <v>0.6607</v>
      </c>
      <c r="E140" s="1">
        <v>0.8043</v>
      </c>
      <c r="F140" s="1">
        <v>0.7255</v>
      </c>
      <c r="G140" s="10">
        <v>3.0</v>
      </c>
      <c r="H140" s="1">
        <v>37.0</v>
      </c>
      <c r="I140" s="1">
        <v>19.0</v>
      </c>
      <c r="J140" s="1">
        <v>129.0</v>
      </c>
      <c r="K140" s="1">
        <v>9.0</v>
      </c>
      <c r="L140" s="1">
        <v>0.8557</v>
      </c>
      <c r="M140" s="1">
        <v>0.7708</v>
      </c>
    </row>
    <row r="141">
      <c r="A141" s="1" t="s">
        <v>55</v>
      </c>
      <c r="B141" s="1" t="s">
        <v>24</v>
      </c>
      <c r="C141" s="1">
        <v>469.0</v>
      </c>
      <c r="D141" s="1">
        <v>0.5672</v>
      </c>
      <c r="E141" s="1">
        <v>0.8636</v>
      </c>
      <c r="F141" s="1">
        <v>0.6847</v>
      </c>
      <c r="G141" s="10">
        <v>4.0</v>
      </c>
      <c r="H141" s="1">
        <v>38.0</v>
      </c>
      <c r="I141" s="1">
        <v>29.0</v>
      </c>
      <c r="J141" s="1">
        <v>396.0</v>
      </c>
      <c r="K141" s="1">
        <v>6.0</v>
      </c>
      <c r="L141" s="1">
        <v>0.9254</v>
      </c>
      <c r="M141" s="1">
        <v>0.7819</v>
      </c>
    </row>
    <row r="142">
      <c r="A142" s="1" t="s">
        <v>51</v>
      </c>
      <c r="B142" s="1" t="s">
        <v>24</v>
      </c>
      <c r="C142" s="1">
        <v>662.0</v>
      </c>
      <c r="D142" s="1">
        <v>0.5521</v>
      </c>
      <c r="E142" s="1">
        <v>0.8092</v>
      </c>
      <c r="F142" s="1">
        <v>0.6563</v>
      </c>
      <c r="G142" s="10">
        <v>5.0</v>
      </c>
      <c r="H142" s="1">
        <v>106.0</v>
      </c>
      <c r="I142" s="1">
        <v>86.0</v>
      </c>
      <c r="J142" s="1">
        <v>445.0</v>
      </c>
      <c r="K142" s="1">
        <v>25.0</v>
      </c>
      <c r="L142" s="1">
        <v>0.8323</v>
      </c>
      <c r="M142" s="1">
        <v>0.7402</v>
      </c>
    </row>
    <row r="143">
      <c r="A143" s="1" t="s">
        <v>53</v>
      </c>
      <c r="B143" s="1" t="s">
        <v>24</v>
      </c>
      <c r="C143" s="1">
        <v>897.0</v>
      </c>
      <c r="D143" s="1">
        <v>0.5506</v>
      </c>
      <c r="E143" s="1">
        <v>0.8095</v>
      </c>
      <c r="F143" s="1">
        <v>0.6554</v>
      </c>
      <c r="G143" s="10">
        <v>6.0</v>
      </c>
      <c r="H143" s="1">
        <v>136.0</v>
      </c>
      <c r="I143" s="1">
        <v>111.0</v>
      </c>
      <c r="J143" s="1">
        <v>618.0</v>
      </c>
      <c r="K143" s="1">
        <v>32.0</v>
      </c>
      <c r="L143" s="1">
        <v>0.8406</v>
      </c>
      <c r="M143" s="1">
        <v>0.7399</v>
      </c>
    </row>
    <row r="144">
      <c r="A144" s="1" t="s">
        <v>49</v>
      </c>
      <c r="B144" s="1" t="s">
        <v>24</v>
      </c>
      <c r="C144" s="1">
        <v>95.0</v>
      </c>
      <c r="D144" s="1">
        <v>0.5769</v>
      </c>
      <c r="E144" s="1">
        <v>0.75</v>
      </c>
      <c r="F144" s="1">
        <v>0.6522</v>
      </c>
      <c r="G144" s="10">
        <v>7.0</v>
      </c>
      <c r="H144" s="1">
        <v>15.0</v>
      </c>
      <c r="I144" s="1">
        <v>11.0</v>
      </c>
      <c r="J144" s="1">
        <v>64.0</v>
      </c>
      <c r="K144" s="1">
        <v>5.0</v>
      </c>
      <c r="L144" s="1">
        <v>0.8316</v>
      </c>
      <c r="M144" s="1">
        <v>0.7075</v>
      </c>
    </row>
    <row r="145">
      <c r="A145" s="1" t="s">
        <v>50</v>
      </c>
      <c r="B145" s="1" t="s">
        <v>24</v>
      </c>
      <c r="C145" s="1">
        <v>679.0</v>
      </c>
      <c r="D145" s="1">
        <v>0.5691</v>
      </c>
      <c r="E145" s="1">
        <v>0.7527</v>
      </c>
      <c r="F145" s="1">
        <v>0.6481</v>
      </c>
      <c r="G145" s="10">
        <v>8.0</v>
      </c>
      <c r="H145" s="1">
        <v>70.0</v>
      </c>
      <c r="I145" s="1">
        <v>53.0</v>
      </c>
      <c r="J145" s="1">
        <v>533.0</v>
      </c>
      <c r="K145" s="1">
        <v>23.0</v>
      </c>
      <c r="L145" s="1">
        <v>0.8881</v>
      </c>
      <c r="M145" s="1">
        <v>0.7071</v>
      </c>
    </row>
    <row r="146">
      <c r="A146" s="1" t="s">
        <v>45</v>
      </c>
      <c r="B146" s="1" t="s">
        <v>24</v>
      </c>
      <c r="C146" s="1">
        <v>49.0</v>
      </c>
      <c r="D146" s="1">
        <v>0.6364</v>
      </c>
      <c r="E146" s="1">
        <v>0.6364</v>
      </c>
      <c r="F146" s="1">
        <v>0.6364</v>
      </c>
      <c r="G146" s="10">
        <v>9.0</v>
      </c>
      <c r="H146" s="1">
        <v>7.0</v>
      </c>
      <c r="I146" s="1">
        <v>4.0</v>
      </c>
      <c r="J146" s="1">
        <v>34.0</v>
      </c>
      <c r="K146" s="1">
        <v>4.0</v>
      </c>
      <c r="L146" s="1">
        <v>0.8367</v>
      </c>
      <c r="M146" s="1">
        <v>0.6364</v>
      </c>
    </row>
    <row r="147">
      <c r="A147" s="1" t="s">
        <v>56</v>
      </c>
      <c r="B147" s="1" t="s">
        <v>24</v>
      </c>
      <c r="C147" s="1">
        <v>446.0</v>
      </c>
      <c r="D147" s="1">
        <v>0.5484</v>
      </c>
      <c r="E147" s="1">
        <v>0.7083</v>
      </c>
      <c r="F147" s="1">
        <v>0.6182</v>
      </c>
      <c r="G147" s="10">
        <v>10.0</v>
      </c>
      <c r="H147" s="1">
        <v>34.0</v>
      </c>
      <c r="I147" s="1">
        <v>28.0</v>
      </c>
      <c r="J147" s="1">
        <v>370.0</v>
      </c>
      <c r="K147" s="1">
        <v>14.0</v>
      </c>
      <c r="L147" s="1">
        <v>0.9058</v>
      </c>
      <c r="M147" s="1">
        <v>0.6693</v>
      </c>
    </row>
    <row r="148">
      <c r="A148" s="1" t="s">
        <v>47</v>
      </c>
      <c r="B148" s="1" t="s">
        <v>24</v>
      </c>
      <c r="C148" s="1">
        <v>274.0</v>
      </c>
      <c r="D148" s="1">
        <v>0.5385</v>
      </c>
      <c r="E148" s="1">
        <v>0.7</v>
      </c>
      <c r="F148" s="1">
        <v>0.6087</v>
      </c>
      <c r="G148" s="10">
        <v>11.0</v>
      </c>
      <c r="H148" s="1">
        <v>35.0</v>
      </c>
      <c r="I148" s="1">
        <v>30.0</v>
      </c>
      <c r="J148" s="1">
        <v>194.0</v>
      </c>
      <c r="K148" s="1">
        <v>15.0</v>
      </c>
      <c r="L148" s="1">
        <v>0.8358</v>
      </c>
      <c r="M148" s="1">
        <v>0.6604</v>
      </c>
    </row>
    <row r="149">
      <c r="A149" s="1" t="s">
        <v>52</v>
      </c>
      <c r="B149" s="1" t="s">
        <v>24</v>
      </c>
      <c r="C149" s="1">
        <v>587.0</v>
      </c>
      <c r="D149" s="1">
        <v>0.5154</v>
      </c>
      <c r="E149" s="1">
        <v>0.67</v>
      </c>
      <c r="F149" s="1">
        <v>0.5826</v>
      </c>
      <c r="G149" s="10">
        <v>12.0</v>
      </c>
      <c r="H149" s="1">
        <v>67.0</v>
      </c>
      <c r="I149" s="1">
        <v>63.0</v>
      </c>
      <c r="J149" s="1">
        <v>424.0</v>
      </c>
      <c r="K149" s="1">
        <v>33.0</v>
      </c>
      <c r="L149" s="1">
        <v>0.8365</v>
      </c>
      <c r="M149" s="1">
        <v>0.6321</v>
      </c>
    </row>
    <row r="150">
      <c r="A150" s="1" t="s">
        <v>57</v>
      </c>
      <c r="B150" s="1" t="s">
        <v>24</v>
      </c>
      <c r="C150" s="1">
        <v>153.0</v>
      </c>
      <c r="D150" s="1">
        <v>0.4524</v>
      </c>
      <c r="E150" s="1">
        <v>0.76</v>
      </c>
      <c r="F150" s="1">
        <v>0.5672</v>
      </c>
      <c r="G150" s="10">
        <v>13.0</v>
      </c>
      <c r="H150" s="1">
        <v>19.0</v>
      </c>
      <c r="I150" s="1">
        <v>23.0</v>
      </c>
      <c r="J150" s="1">
        <v>105.0</v>
      </c>
      <c r="K150" s="1">
        <v>6.0</v>
      </c>
      <c r="L150" s="1">
        <v>0.8105</v>
      </c>
      <c r="M150" s="1">
        <v>0.669</v>
      </c>
    </row>
    <row r="151">
      <c r="A151" s="1" t="s">
        <v>58</v>
      </c>
      <c r="B151" s="1" t="s">
        <v>24</v>
      </c>
      <c r="C151" s="1">
        <v>117.0</v>
      </c>
      <c r="D151" s="1">
        <v>0.4615</v>
      </c>
      <c r="E151" s="1">
        <v>0.7059</v>
      </c>
      <c r="F151" s="1">
        <v>0.5581</v>
      </c>
      <c r="G151" s="10">
        <v>14.0</v>
      </c>
      <c r="H151" s="1">
        <v>12.0</v>
      </c>
      <c r="I151" s="1">
        <v>14.0</v>
      </c>
      <c r="J151" s="1">
        <v>86.0</v>
      </c>
      <c r="K151" s="1">
        <v>5.0</v>
      </c>
      <c r="L151" s="1">
        <v>0.8376</v>
      </c>
      <c r="M151" s="1">
        <v>0.6383</v>
      </c>
    </row>
    <row r="152">
      <c r="A152" s="1" t="s">
        <v>44</v>
      </c>
      <c r="B152" s="1" t="s">
        <v>24</v>
      </c>
      <c r="C152" s="1">
        <v>65.0</v>
      </c>
      <c r="D152" s="1">
        <v>0.5</v>
      </c>
      <c r="E152" s="1">
        <v>0.5714</v>
      </c>
      <c r="F152" s="1">
        <v>0.5333</v>
      </c>
      <c r="G152" s="10">
        <v>15.0</v>
      </c>
      <c r="H152" s="1">
        <v>8.0</v>
      </c>
      <c r="I152" s="1">
        <v>8.0</v>
      </c>
      <c r="J152" s="1">
        <v>43.0</v>
      </c>
      <c r="K152" s="1">
        <v>6.0</v>
      </c>
      <c r="L152" s="1">
        <v>0.7846</v>
      </c>
      <c r="M152" s="1">
        <v>0.5556</v>
      </c>
    </row>
    <row r="153">
      <c r="A153" s="1" t="s">
        <v>46</v>
      </c>
      <c r="B153" s="1" t="s">
        <v>24</v>
      </c>
      <c r="C153" s="1">
        <v>89.0</v>
      </c>
      <c r="D153" s="1">
        <v>0.4</v>
      </c>
      <c r="E153" s="1">
        <v>0.4</v>
      </c>
      <c r="F153" s="1">
        <v>0.4</v>
      </c>
      <c r="G153" s="10">
        <v>16.0</v>
      </c>
      <c r="H153" s="1">
        <v>2.0</v>
      </c>
      <c r="I153" s="1">
        <v>3.0</v>
      </c>
      <c r="J153" s="1">
        <v>81.0</v>
      </c>
      <c r="K153" s="1">
        <v>3.0</v>
      </c>
      <c r="L153" s="1">
        <v>0.9326</v>
      </c>
      <c r="M153" s="1">
        <v>0.4</v>
      </c>
    </row>
    <row r="154">
      <c r="A154" s="1" t="s">
        <v>54</v>
      </c>
      <c r="B154" s="1" t="s">
        <v>24</v>
      </c>
      <c r="C154" s="1">
        <v>49.0</v>
      </c>
      <c r="D154" s="1">
        <v>0.4</v>
      </c>
      <c r="E154" s="1">
        <v>0.4</v>
      </c>
      <c r="F154" s="1">
        <v>0.4</v>
      </c>
      <c r="G154" s="10">
        <v>17.0</v>
      </c>
      <c r="H154" s="1">
        <v>2.0</v>
      </c>
      <c r="I154" s="1">
        <v>3.0</v>
      </c>
      <c r="J154" s="1">
        <v>41.0</v>
      </c>
      <c r="K154" s="1">
        <v>3.0</v>
      </c>
      <c r="L154" s="1">
        <v>0.8776</v>
      </c>
      <c r="M154" s="1">
        <v>0.4</v>
      </c>
    </row>
    <row r="155">
      <c r="A155" s="1" t="s">
        <v>48</v>
      </c>
      <c r="B155" s="1" t="s">
        <v>25</v>
      </c>
      <c r="C155" s="1">
        <v>26.0</v>
      </c>
      <c r="D155" s="1">
        <v>0.5714</v>
      </c>
      <c r="E155" s="1">
        <v>0.8</v>
      </c>
      <c r="F155" s="1">
        <v>0.6667</v>
      </c>
      <c r="G155" s="10">
        <v>1.0</v>
      </c>
      <c r="H155" s="1">
        <v>4.0</v>
      </c>
      <c r="I155" s="1">
        <v>3.0</v>
      </c>
      <c r="J155" s="1">
        <v>18.0</v>
      </c>
      <c r="K155" s="1">
        <v>1.0</v>
      </c>
      <c r="L155" s="1">
        <v>0.8462</v>
      </c>
      <c r="M155" s="1">
        <v>0.7407</v>
      </c>
    </row>
    <row r="156">
      <c r="A156" s="1" t="s">
        <v>46</v>
      </c>
      <c r="B156" s="1" t="s">
        <v>25</v>
      </c>
      <c r="C156" s="1">
        <v>89.0</v>
      </c>
      <c r="D156" s="1">
        <v>0.5</v>
      </c>
      <c r="E156" s="1">
        <v>0.8</v>
      </c>
      <c r="F156" s="1">
        <v>0.6154</v>
      </c>
      <c r="G156" s="10">
        <v>2.0</v>
      </c>
      <c r="H156" s="1">
        <v>4.0</v>
      </c>
      <c r="I156" s="1">
        <v>4.0</v>
      </c>
      <c r="J156" s="1">
        <v>80.0</v>
      </c>
      <c r="K156" s="1">
        <v>1.0</v>
      </c>
      <c r="L156" s="1">
        <v>0.9438</v>
      </c>
      <c r="M156" s="1">
        <v>0.7143</v>
      </c>
    </row>
    <row r="157">
      <c r="A157" s="1" t="s">
        <v>45</v>
      </c>
      <c r="B157" s="1" t="s">
        <v>25</v>
      </c>
      <c r="C157" s="1">
        <v>49.0</v>
      </c>
      <c r="D157" s="1">
        <v>0.45</v>
      </c>
      <c r="E157" s="1">
        <v>0.8182</v>
      </c>
      <c r="F157" s="1">
        <v>0.5806</v>
      </c>
      <c r="G157" s="10">
        <v>3.0</v>
      </c>
      <c r="H157" s="1">
        <v>9.0</v>
      </c>
      <c r="I157" s="1">
        <v>11.0</v>
      </c>
      <c r="J157" s="1">
        <v>27.0</v>
      </c>
      <c r="K157" s="1">
        <v>2.0</v>
      </c>
      <c r="L157" s="1">
        <v>0.7347</v>
      </c>
      <c r="M157" s="1">
        <v>0.7031</v>
      </c>
    </row>
    <row r="158">
      <c r="A158" s="1" t="s">
        <v>42</v>
      </c>
      <c r="B158" s="1" t="s">
        <v>25</v>
      </c>
      <c r="C158" s="1">
        <v>16.0</v>
      </c>
      <c r="D158" s="1">
        <v>0.5</v>
      </c>
      <c r="E158" s="1">
        <v>0.6667</v>
      </c>
      <c r="F158" s="1">
        <v>0.5714</v>
      </c>
      <c r="G158" s="10">
        <v>4.0</v>
      </c>
      <c r="H158" s="1">
        <v>4.0</v>
      </c>
      <c r="I158" s="1">
        <v>4.0</v>
      </c>
      <c r="J158" s="1">
        <v>6.0</v>
      </c>
      <c r="K158" s="1">
        <v>2.0</v>
      </c>
      <c r="L158" s="1">
        <v>0.625</v>
      </c>
      <c r="M158" s="1">
        <v>0.625</v>
      </c>
    </row>
    <row r="159">
      <c r="A159" s="1" t="s">
        <v>43</v>
      </c>
      <c r="B159" s="1" t="s">
        <v>25</v>
      </c>
      <c r="C159" s="1">
        <v>194.0</v>
      </c>
      <c r="D159" s="1">
        <v>0.4</v>
      </c>
      <c r="E159" s="1">
        <v>0.8261</v>
      </c>
      <c r="F159" s="1">
        <v>0.539</v>
      </c>
      <c r="G159" s="10">
        <v>5.0</v>
      </c>
      <c r="H159" s="1">
        <v>38.0</v>
      </c>
      <c r="I159" s="1">
        <v>57.0</v>
      </c>
      <c r="J159" s="1">
        <v>91.0</v>
      </c>
      <c r="K159" s="1">
        <v>8.0</v>
      </c>
      <c r="L159" s="1">
        <v>0.6649</v>
      </c>
      <c r="M159" s="1">
        <v>0.681</v>
      </c>
    </row>
    <row r="160">
      <c r="A160" s="1" t="s">
        <v>49</v>
      </c>
      <c r="B160" s="1" t="s">
        <v>25</v>
      </c>
      <c r="C160" s="1">
        <v>95.0</v>
      </c>
      <c r="D160" s="1">
        <v>0.4333</v>
      </c>
      <c r="E160" s="1">
        <v>0.65</v>
      </c>
      <c r="F160" s="1">
        <v>0.52</v>
      </c>
      <c r="G160" s="10">
        <v>6.0</v>
      </c>
      <c r="H160" s="1">
        <v>13.0</v>
      </c>
      <c r="I160" s="1">
        <v>17.0</v>
      </c>
      <c r="J160" s="1">
        <v>58.0</v>
      </c>
      <c r="K160" s="1">
        <v>7.0</v>
      </c>
      <c r="L160" s="1">
        <v>0.7474</v>
      </c>
      <c r="M160" s="1">
        <v>0.5909</v>
      </c>
    </row>
    <row r="161">
      <c r="A161" s="1" t="s">
        <v>51</v>
      </c>
      <c r="B161" s="1" t="s">
        <v>25</v>
      </c>
      <c r="C161" s="1">
        <v>662.0</v>
      </c>
      <c r="D161" s="1">
        <v>0.359</v>
      </c>
      <c r="E161" s="1">
        <v>0.855</v>
      </c>
      <c r="F161" s="1">
        <v>0.5056</v>
      </c>
      <c r="G161" s="10">
        <v>7.0</v>
      </c>
      <c r="H161" s="1">
        <v>112.0</v>
      </c>
      <c r="I161" s="1">
        <v>200.0</v>
      </c>
      <c r="J161" s="1">
        <v>331.0</v>
      </c>
      <c r="K161" s="1">
        <v>19.0</v>
      </c>
      <c r="L161" s="1">
        <v>0.6692</v>
      </c>
      <c r="M161" s="1">
        <v>0.6699</v>
      </c>
    </row>
    <row r="162">
      <c r="A162" s="1" t="s">
        <v>53</v>
      </c>
      <c r="B162" s="1" t="s">
        <v>25</v>
      </c>
      <c r="C162" s="1">
        <v>897.0</v>
      </c>
      <c r="D162" s="1">
        <v>0.3377</v>
      </c>
      <c r="E162" s="1">
        <v>0.9226</v>
      </c>
      <c r="F162" s="1">
        <v>0.4944</v>
      </c>
      <c r="G162" s="10">
        <v>8.0</v>
      </c>
      <c r="H162" s="1">
        <v>155.0</v>
      </c>
      <c r="I162" s="1">
        <v>304.0</v>
      </c>
      <c r="J162" s="1">
        <v>425.0</v>
      </c>
      <c r="K162" s="1">
        <v>13.0</v>
      </c>
      <c r="L162" s="1">
        <v>0.6466</v>
      </c>
      <c r="M162" s="1">
        <v>0.6852</v>
      </c>
    </row>
    <row r="163">
      <c r="A163" s="1" t="s">
        <v>44</v>
      </c>
      <c r="B163" s="1" t="s">
        <v>25</v>
      </c>
      <c r="C163" s="1">
        <v>65.0</v>
      </c>
      <c r="D163" s="1">
        <v>0.4211</v>
      </c>
      <c r="E163" s="1">
        <v>0.5714</v>
      </c>
      <c r="F163" s="1">
        <v>0.4848</v>
      </c>
      <c r="G163" s="10">
        <v>9.0</v>
      </c>
      <c r="H163" s="1">
        <v>8.0</v>
      </c>
      <c r="I163" s="1">
        <v>11.0</v>
      </c>
      <c r="J163" s="1">
        <v>40.0</v>
      </c>
      <c r="K163" s="1">
        <v>6.0</v>
      </c>
      <c r="L163" s="1">
        <v>0.7385</v>
      </c>
      <c r="M163" s="1">
        <v>0.5333</v>
      </c>
    </row>
    <row r="164">
      <c r="A164" s="1" t="s">
        <v>50</v>
      </c>
      <c r="B164" s="1" t="s">
        <v>25</v>
      </c>
      <c r="C164" s="1">
        <v>679.0</v>
      </c>
      <c r="D164" s="1">
        <v>0.3301</v>
      </c>
      <c r="E164" s="1">
        <v>0.7312</v>
      </c>
      <c r="F164" s="1">
        <v>0.4548</v>
      </c>
      <c r="G164" s="10">
        <v>10.0</v>
      </c>
      <c r="H164" s="1">
        <v>68.0</v>
      </c>
      <c r="I164" s="1">
        <v>138.0</v>
      </c>
      <c r="J164" s="1">
        <v>448.0</v>
      </c>
      <c r="K164" s="1">
        <v>25.0</v>
      </c>
      <c r="L164" s="1">
        <v>0.7599</v>
      </c>
      <c r="M164" s="1">
        <v>0.5882</v>
      </c>
    </row>
    <row r="165">
      <c r="A165" s="1" t="s">
        <v>47</v>
      </c>
      <c r="B165" s="1" t="s">
        <v>25</v>
      </c>
      <c r="C165" s="1">
        <v>274.0</v>
      </c>
      <c r="D165" s="1">
        <v>0.2937</v>
      </c>
      <c r="E165" s="1">
        <v>0.84</v>
      </c>
      <c r="F165" s="1">
        <v>0.4352</v>
      </c>
      <c r="G165" s="10">
        <v>11.0</v>
      </c>
      <c r="H165" s="1">
        <v>42.0</v>
      </c>
      <c r="I165" s="1">
        <v>101.0</v>
      </c>
      <c r="J165" s="1">
        <v>123.0</v>
      </c>
      <c r="K165" s="1">
        <v>8.0</v>
      </c>
      <c r="L165" s="1">
        <v>0.6022</v>
      </c>
      <c r="M165" s="1">
        <v>0.6122</v>
      </c>
    </row>
    <row r="166">
      <c r="A166" s="1" t="s">
        <v>52</v>
      </c>
      <c r="B166" s="1" t="s">
        <v>25</v>
      </c>
      <c r="C166" s="1">
        <v>587.0</v>
      </c>
      <c r="D166" s="1">
        <v>0.3265</v>
      </c>
      <c r="E166" s="1">
        <v>0.64</v>
      </c>
      <c r="F166" s="1">
        <v>0.4324</v>
      </c>
      <c r="G166" s="10">
        <v>12.0</v>
      </c>
      <c r="H166" s="1">
        <v>64.0</v>
      </c>
      <c r="I166" s="1">
        <v>132.0</v>
      </c>
      <c r="J166" s="1">
        <v>355.0</v>
      </c>
      <c r="K166" s="1">
        <v>36.0</v>
      </c>
      <c r="L166" s="1">
        <v>0.7138</v>
      </c>
      <c r="M166" s="1">
        <v>0.5369</v>
      </c>
    </row>
    <row r="167">
      <c r="A167" s="1" t="s">
        <v>55</v>
      </c>
      <c r="B167" s="1" t="s">
        <v>25</v>
      </c>
      <c r="C167" s="1">
        <v>469.0</v>
      </c>
      <c r="D167" s="1">
        <v>0.2794</v>
      </c>
      <c r="E167" s="1">
        <v>0.8636</v>
      </c>
      <c r="F167" s="1">
        <v>0.4222</v>
      </c>
      <c r="G167" s="10">
        <v>13.0</v>
      </c>
      <c r="H167" s="1">
        <v>38.0</v>
      </c>
      <c r="I167" s="1">
        <v>98.0</v>
      </c>
      <c r="J167" s="1">
        <v>327.0</v>
      </c>
      <c r="K167" s="1">
        <v>6.0</v>
      </c>
      <c r="L167" s="1">
        <v>0.7783</v>
      </c>
      <c r="M167" s="1">
        <v>0.609</v>
      </c>
    </row>
    <row r="168">
      <c r="A168" s="1" t="s">
        <v>56</v>
      </c>
      <c r="B168" s="1" t="s">
        <v>25</v>
      </c>
      <c r="C168" s="1">
        <v>446.0</v>
      </c>
      <c r="D168" s="1">
        <v>0.3028</v>
      </c>
      <c r="E168" s="1">
        <v>0.6875</v>
      </c>
      <c r="F168" s="1">
        <v>0.4204</v>
      </c>
      <c r="G168" s="10">
        <v>14.0</v>
      </c>
      <c r="H168" s="1">
        <v>33.0</v>
      </c>
      <c r="I168" s="1">
        <v>76.0</v>
      </c>
      <c r="J168" s="1">
        <v>322.0</v>
      </c>
      <c r="K168" s="1">
        <v>15.0</v>
      </c>
      <c r="L168" s="1">
        <v>0.796</v>
      </c>
      <c r="M168" s="1">
        <v>0.5482</v>
      </c>
    </row>
    <row r="169">
      <c r="A169" s="1" t="s">
        <v>57</v>
      </c>
      <c r="B169" s="1" t="s">
        <v>25</v>
      </c>
      <c r="C169" s="1">
        <v>153.0</v>
      </c>
      <c r="D169" s="1">
        <v>0.2632</v>
      </c>
      <c r="E169" s="1">
        <v>0.8</v>
      </c>
      <c r="F169" s="1">
        <v>0.396</v>
      </c>
      <c r="G169" s="10">
        <v>15.0</v>
      </c>
      <c r="H169" s="1">
        <v>20.0</v>
      </c>
      <c r="I169" s="1">
        <v>56.0</v>
      </c>
      <c r="J169" s="1">
        <v>72.0</v>
      </c>
      <c r="K169" s="1">
        <v>5.0</v>
      </c>
      <c r="L169" s="1">
        <v>0.6013</v>
      </c>
      <c r="M169" s="1">
        <v>0.5682</v>
      </c>
    </row>
    <row r="170">
      <c r="A170" s="1" t="s">
        <v>58</v>
      </c>
      <c r="B170" s="1" t="s">
        <v>25</v>
      </c>
      <c r="C170" s="1">
        <v>117.0</v>
      </c>
      <c r="D170" s="1">
        <v>0.2609</v>
      </c>
      <c r="E170" s="1">
        <v>0.7059</v>
      </c>
      <c r="F170" s="1">
        <v>0.381</v>
      </c>
      <c r="G170" s="10">
        <v>16.0</v>
      </c>
      <c r="H170" s="1">
        <v>12.0</v>
      </c>
      <c r="I170" s="1">
        <v>34.0</v>
      </c>
      <c r="J170" s="1">
        <v>66.0</v>
      </c>
      <c r="K170" s="1">
        <v>5.0</v>
      </c>
      <c r="L170" s="1">
        <v>0.6667</v>
      </c>
      <c r="M170" s="1">
        <v>0.5263</v>
      </c>
    </row>
    <row r="171">
      <c r="A171" s="1" t="s">
        <v>54</v>
      </c>
      <c r="B171" s="1" t="s">
        <v>25</v>
      </c>
      <c r="C171" s="1">
        <v>49.0</v>
      </c>
      <c r="D171" s="1">
        <v>0.1739</v>
      </c>
      <c r="E171" s="1">
        <v>0.8</v>
      </c>
      <c r="F171" s="1">
        <v>0.2857</v>
      </c>
      <c r="G171" s="10">
        <v>17.0</v>
      </c>
      <c r="H171" s="1">
        <v>4.0</v>
      </c>
      <c r="I171" s="1">
        <v>19.0</v>
      </c>
      <c r="J171" s="1">
        <v>25.0</v>
      </c>
      <c r="K171" s="1">
        <v>1.0</v>
      </c>
      <c r="L171" s="1">
        <v>0.5918</v>
      </c>
      <c r="M171" s="1">
        <v>0.4651</v>
      </c>
    </row>
    <row r="172">
      <c r="A172" s="1" t="s">
        <v>42</v>
      </c>
      <c r="B172" s="1" t="s">
        <v>26</v>
      </c>
      <c r="C172" s="1">
        <v>16.0</v>
      </c>
      <c r="D172" s="1">
        <v>0.8333</v>
      </c>
      <c r="E172" s="1">
        <v>0.8333</v>
      </c>
      <c r="F172" s="1">
        <v>0.8333</v>
      </c>
      <c r="G172" s="10">
        <v>1.0</v>
      </c>
      <c r="H172" s="1">
        <v>5.0</v>
      </c>
      <c r="I172" s="1">
        <v>1.0</v>
      </c>
      <c r="J172" s="1">
        <v>9.0</v>
      </c>
      <c r="K172" s="1">
        <v>1.0</v>
      </c>
      <c r="L172" s="1">
        <v>0.875</v>
      </c>
      <c r="M172" s="1">
        <v>0.8333</v>
      </c>
    </row>
    <row r="173">
      <c r="A173" s="1" t="s">
        <v>48</v>
      </c>
      <c r="B173" s="1" t="s">
        <v>26</v>
      </c>
      <c r="C173" s="1">
        <v>26.0</v>
      </c>
      <c r="D173" s="1">
        <v>0.6667</v>
      </c>
      <c r="E173" s="1">
        <v>0.8</v>
      </c>
      <c r="F173" s="1">
        <v>0.7273</v>
      </c>
      <c r="G173" s="10">
        <v>2.0</v>
      </c>
      <c r="H173" s="1">
        <v>4.0</v>
      </c>
      <c r="I173" s="1">
        <v>2.0</v>
      </c>
      <c r="J173" s="1">
        <v>19.0</v>
      </c>
      <c r="K173" s="1">
        <v>1.0</v>
      </c>
      <c r="L173" s="1">
        <v>0.8846</v>
      </c>
      <c r="M173" s="1">
        <v>0.7692</v>
      </c>
    </row>
    <row r="174">
      <c r="A174" s="1" t="s">
        <v>45</v>
      </c>
      <c r="B174" s="1" t="s">
        <v>26</v>
      </c>
      <c r="C174" s="1">
        <v>49.0</v>
      </c>
      <c r="D174" s="1">
        <v>0.6667</v>
      </c>
      <c r="E174" s="1">
        <v>0.7273</v>
      </c>
      <c r="F174" s="1">
        <v>0.6957</v>
      </c>
      <c r="G174" s="10">
        <v>3.0</v>
      </c>
      <c r="H174" s="1">
        <v>8.0</v>
      </c>
      <c r="I174" s="1">
        <v>4.0</v>
      </c>
      <c r="J174" s="1">
        <v>34.0</v>
      </c>
      <c r="K174" s="1">
        <v>3.0</v>
      </c>
      <c r="L174" s="1">
        <v>0.8571</v>
      </c>
      <c r="M174" s="1">
        <v>0.7143</v>
      </c>
    </row>
    <row r="175">
      <c r="A175" s="1" t="s">
        <v>44</v>
      </c>
      <c r="B175" s="1" t="s">
        <v>26</v>
      </c>
      <c r="C175" s="1">
        <v>65.0</v>
      </c>
      <c r="D175" s="1">
        <v>0.75</v>
      </c>
      <c r="E175" s="1">
        <v>0.6429</v>
      </c>
      <c r="F175" s="1">
        <v>0.6923</v>
      </c>
      <c r="G175" s="10">
        <v>4.0</v>
      </c>
      <c r="H175" s="1">
        <v>9.0</v>
      </c>
      <c r="I175" s="1">
        <v>3.0</v>
      </c>
      <c r="J175" s="1">
        <v>48.0</v>
      </c>
      <c r="K175" s="1">
        <v>5.0</v>
      </c>
      <c r="L175" s="1">
        <v>0.8769</v>
      </c>
      <c r="M175" s="1">
        <v>0.6618</v>
      </c>
    </row>
    <row r="176">
      <c r="A176" s="1" t="s">
        <v>55</v>
      </c>
      <c r="B176" s="1" t="s">
        <v>26</v>
      </c>
      <c r="C176" s="1">
        <v>469.0</v>
      </c>
      <c r="D176" s="1">
        <v>0.6275</v>
      </c>
      <c r="E176" s="1">
        <v>0.7273</v>
      </c>
      <c r="F176" s="1">
        <v>0.6737</v>
      </c>
      <c r="G176" s="10">
        <v>5.0</v>
      </c>
      <c r="H176" s="1">
        <v>32.0</v>
      </c>
      <c r="I176" s="1">
        <v>19.0</v>
      </c>
      <c r="J176" s="1">
        <v>406.0</v>
      </c>
      <c r="K176" s="1">
        <v>12.0</v>
      </c>
      <c r="L176" s="1">
        <v>0.9339</v>
      </c>
      <c r="M176" s="1">
        <v>0.7048</v>
      </c>
    </row>
    <row r="177">
      <c r="A177" s="1" t="s">
        <v>47</v>
      </c>
      <c r="B177" s="1" t="s">
        <v>26</v>
      </c>
      <c r="C177" s="1">
        <v>274.0</v>
      </c>
      <c r="D177" s="1">
        <v>0.5873</v>
      </c>
      <c r="E177" s="1">
        <v>0.74</v>
      </c>
      <c r="F177" s="1">
        <v>0.6549</v>
      </c>
      <c r="G177" s="10">
        <v>6.0</v>
      </c>
      <c r="H177" s="1">
        <v>37.0</v>
      </c>
      <c r="I177" s="1">
        <v>26.0</v>
      </c>
      <c r="J177" s="1">
        <v>198.0</v>
      </c>
      <c r="K177" s="1">
        <v>13.0</v>
      </c>
      <c r="L177" s="1">
        <v>0.8577</v>
      </c>
      <c r="M177" s="1">
        <v>0.7034</v>
      </c>
    </row>
    <row r="178">
      <c r="A178" s="1" t="s">
        <v>51</v>
      </c>
      <c r="B178" s="1" t="s">
        <v>26</v>
      </c>
      <c r="C178" s="1">
        <v>662.0</v>
      </c>
      <c r="D178" s="1">
        <v>0.5924</v>
      </c>
      <c r="E178" s="1">
        <v>0.7099</v>
      </c>
      <c r="F178" s="1">
        <v>0.6458</v>
      </c>
      <c r="G178" s="10">
        <v>7.0</v>
      </c>
      <c r="H178" s="1">
        <v>93.0</v>
      </c>
      <c r="I178" s="1">
        <v>64.0</v>
      </c>
      <c r="J178" s="1">
        <v>467.0</v>
      </c>
      <c r="K178" s="1">
        <v>38.0</v>
      </c>
      <c r="L178" s="1">
        <v>0.8459</v>
      </c>
      <c r="M178" s="1">
        <v>0.6828</v>
      </c>
    </row>
    <row r="179">
      <c r="A179" s="1" t="s">
        <v>53</v>
      </c>
      <c r="B179" s="1" t="s">
        <v>26</v>
      </c>
      <c r="C179" s="1">
        <v>897.0</v>
      </c>
      <c r="D179" s="1">
        <v>0.5867</v>
      </c>
      <c r="E179" s="1">
        <v>0.6845</v>
      </c>
      <c r="F179" s="1">
        <v>0.6319</v>
      </c>
      <c r="G179" s="10">
        <v>8.0</v>
      </c>
      <c r="H179" s="1">
        <v>115.0</v>
      </c>
      <c r="I179" s="1">
        <v>81.0</v>
      </c>
      <c r="J179" s="1">
        <v>648.0</v>
      </c>
      <c r="K179" s="1">
        <v>53.0</v>
      </c>
      <c r="L179" s="1">
        <v>0.8506</v>
      </c>
      <c r="M179" s="1">
        <v>0.6624</v>
      </c>
    </row>
    <row r="180">
      <c r="A180" s="1" t="s">
        <v>43</v>
      </c>
      <c r="B180" s="1" t="s">
        <v>26</v>
      </c>
      <c r="C180" s="1">
        <v>194.0</v>
      </c>
      <c r="D180" s="1">
        <v>0.619</v>
      </c>
      <c r="E180" s="1">
        <v>0.5652</v>
      </c>
      <c r="F180" s="1">
        <v>0.5909</v>
      </c>
      <c r="G180" s="10">
        <v>9.0</v>
      </c>
      <c r="H180" s="1">
        <v>26.0</v>
      </c>
      <c r="I180" s="1">
        <v>16.0</v>
      </c>
      <c r="J180" s="1">
        <v>132.0</v>
      </c>
      <c r="K180" s="1">
        <v>20.0</v>
      </c>
      <c r="L180" s="1">
        <v>0.8144</v>
      </c>
      <c r="M180" s="1">
        <v>0.5752</v>
      </c>
    </row>
    <row r="181">
      <c r="A181" s="1" t="s">
        <v>57</v>
      </c>
      <c r="B181" s="1" t="s">
        <v>26</v>
      </c>
      <c r="C181" s="1">
        <v>153.0</v>
      </c>
      <c r="D181" s="1">
        <v>0.5152</v>
      </c>
      <c r="E181" s="1">
        <v>0.68</v>
      </c>
      <c r="F181" s="1">
        <v>0.5862</v>
      </c>
      <c r="G181" s="10">
        <v>10.0</v>
      </c>
      <c r="H181" s="1">
        <v>17.0</v>
      </c>
      <c r="I181" s="1">
        <v>16.0</v>
      </c>
      <c r="J181" s="1">
        <v>112.0</v>
      </c>
      <c r="K181" s="1">
        <v>8.0</v>
      </c>
      <c r="L181" s="1">
        <v>0.8431</v>
      </c>
      <c r="M181" s="1">
        <v>0.6391</v>
      </c>
    </row>
    <row r="182">
      <c r="A182" s="1" t="s">
        <v>52</v>
      </c>
      <c r="B182" s="1" t="s">
        <v>26</v>
      </c>
      <c r="C182" s="1">
        <v>587.0</v>
      </c>
      <c r="D182" s="1">
        <v>0.5938</v>
      </c>
      <c r="E182" s="1">
        <v>0.57</v>
      </c>
      <c r="F182" s="1">
        <v>0.5816</v>
      </c>
      <c r="G182" s="10">
        <v>11.0</v>
      </c>
      <c r="H182" s="1">
        <v>57.0</v>
      </c>
      <c r="I182" s="1">
        <v>39.0</v>
      </c>
      <c r="J182" s="1">
        <v>448.0</v>
      </c>
      <c r="K182" s="1">
        <v>43.0</v>
      </c>
      <c r="L182" s="1">
        <v>0.8603</v>
      </c>
      <c r="M182" s="1">
        <v>0.5746</v>
      </c>
    </row>
    <row r="183">
      <c r="A183" s="1" t="s">
        <v>56</v>
      </c>
      <c r="B183" s="1" t="s">
        <v>26</v>
      </c>
      <c r="C183" s="1">
        <v>446.0</v>
      </c>
      <c r="D183" s="1">
        <v>0.5417</v>
      </c>
      <c r="E183" s="1">
        <v>0.5417</v>
      </c>
      <c r="F183" s="1">
        <v>0.5417</v>
      </c>
      <c r="G183" s="10">
        <v>12.0</v>
      </c>
      <c r="H183" s="1">
        <v>26.0</v>
      </c>
      <c r="I183" s="1">
        <v>22.0</v>
      </c>
      <c r="J183" s="1">
        <v>376.0</v>
      </c>
      <c r="K183" s="1">
        <v>22.0</v>
      </c>
      <c r="L183" s="1">
        <v>0.9013</v>
      </c>
      <c r="M183" s="1">
        <v>0.5417</v>
      </c>
    </row>
    <row r="184">
      <c r="A184" s="1" t="s">
        <v>50</v>
      </c>
      <c r="B184" s="1" t="s">
        <v>26</v>
      </c>
      <c r="C184" s="1">
        <v>679.0</v>
      </c>
      <c r="D184" s="1">
        <v>0.5444</v>
      </c>
      <c r="E184" s="1">
        <v>0.5269</v>
      </c>
      <c r="F184" s="1">
        <v>0.5355</v>
      </c>
      <c r="G184" s="10">
        <v>13.0</v>
      </c>
      <c r="H184" s="1">
        <v>49.0</v>
      </c>
      <c r="I184" s="1">
        <v>41.0</v>
      </c>
      <c r="J184" s="1">
        <v>545.0</v>
      </c>
      <c r="K184" s="1">
        <v>44.0</v>
      </c>
      <c r="L184" s="1">
        <v>0.8748</v>
      </c>
      <c r="M184" s="1">
        <v>0.5303</v>
      </c>
    </row>
    <row r="185">
      <c r="A185" s="1" t="s">
        <v>49</v>
      </c>
      <c r="B185" s="1" t="s">
        <v>26</v>
      </c>
      <c r="C185" s="1">
        <v>95.0</v>
      </c>
      <c r="D185" s="1">
        <v>0.5625</v>
      </c>
      <c r="E185" s="1">
        <v>0.45</v>
      </c>
      <c r="F185" s="1">
        <v>0.5</v>
      </c>
      <c r="G185" s="10">
        <v>14.0</v>
      </c>
      <c r="H185" s="1">
        <v>9.0</v>
      </c>
      <c r="I185" s="1">
        <v>7.0</v>
      </c>
      <c r="J185" s="1">
        <v>68.0</v>
      </c>
      <c r="K185" s="1">
        <v>11.0</v>
      </c>
      <c r="L185" s="1">
        <v>0.8105</v>
      </c>
      <c r="M185" s="1">
        <v>0.4687</v>
      </c>
    </row>
    <row r="186">
      <c r="A186" s="1" t="s">
        <v>46</v>
      </c>
      <c r="B186" s="1" t="s">
        <v>26</v>
      </c>
      <c r="C186" s="1">
        <v>89.0</v>
      </c>
      <c r="D186" s="1">
        <v>0.5</v>
      </c>
      <c r="E186" s="1">
        <v>0.4</v>
      </c>
      <c r="F186" s="1">
        <v>0.4444</v>
      </c>
      <c r="G186" s="10">
        <v>15.0</v>
      </c>
      <c r="H186" s="1">
        <v>2.0</v>
      </c>
      <c r="I186" s="1">
        <v>2.0</v>
      </c>
      <c r="J186" s="1">
        <v>82.0</v>
      </c>
      <c r="K186" s="1">
        <v>3.0</v>
      </c>
      <c r="L186" s="1">
        <v>0.9438</v>
      </c>
      <c r="M186" s="1">
        <v>0.4167</v>
      </c>
    </row>
    <row r="187">
      <c r="A187" s="1" t="s">
        <v>58</v>
      </c>
      <c r="B187" s="1" t="s">
        <v>26</v>
      </c>
      <c r="C187" s="1">
        <v>117.0</v>
      </c>
      <c r="D187" s="1">
        <v>0.3636</v>
      </c>
      <c r="E187" s="1">
        <v>0.4706</v>
      </c>
      <c r="F187" s="1">
        <v>0.4103</v>
      </c>
      <c r="G187" s="10">
        <v>16.0</v>
      </c>
      <c r="H187" s="1">
        <v>8.0</v>
      </c>
      <c r="I187" s="1">
        <v>14.0</v>
      </c>
      <c r="J187" s="1">
        <v>86.0</v>
      </c>
      <c r="K187" s="1">
        <v>9.0</v>
      </c>
      <c r="L187" s="1">
        <v>0.8034</v>
      </c>
      <c r="M187" s="1">
        <v>0.4444</v>
      </c>
    </row>
    <row r="188">
      <c r="A188" s="1" t="s">
        <v>54</v>
      </c>
      <c r="B188" s="1" t="s">
        <v>26</v>
      </c>
      <c r="C188" s="1">
        <v>49.0</v>
      </c>
      <c r="D188" s="1">
        <v>0.4</v>
      </c>
      <c r="E188" s="1">
        <v>0.4</v>
      </c>
      <c r="F188" s="1">
        <v>0.4</v>
      </c>
      <c r="G188" s="10">
        <v>17.0</v>
      </c>
      <c r="H188" s="1">
        <v>2.0</v>
      </c>
      <c r="I188" s="1">
        <v>3.0</v>
      </c>
      <c r="J188" s="1">
        <v>41.0</v>
      </c>
      <c r="K188" s="1">
        <v>3.0</v>
      </c>
      <c r="L188" s="1">
        <v>0.8776</v>
      </c>
      <c r="M188" s="1">
        <v>0.4</v>
      </c>
    </row>
    <row r="189">
      <c r="A189" s="1" t="s">
        <v>48</v>
      </c>
      <c r="B189" s="1" t="s">
        <v>28</v>
      </c>
      <c r="C189" s="1">
        <v>26.0</v>
      </c>
      <c r="D189" s="1">
        <v>0.8</v>
      </c>
      <c r="E189" s="1">
        <v>0.8</v>
      </c>
      <c r="F189" s="1">
        <v>0.8</v>
      </c>
      <c r="G189" s="10">
        <v>1.0</v>
      </c>
      <c r="H189" s="1">
        <v>4.0</v>
      </c>
      <c r="I189" s="1">
        <v>1.0</v>
      </c>
      <c r="J189" s="1">
        <v>20.0</v>
      </c>
      <c r="K189" s="1">
        <v>1.0</v>
      </c>
      <c r="L189" s="1">
        <v>0.9231</v>
      </c>
      <c r="M189" s="1">
        <v>0.8</v>
      </c>
    </row>
    <row r="190">
      <c r="A190" s="1" t="s">
        <v>45</v>
      </c>
      <c r="B190" s="1" t="s">
        <v>28</v>
      </c>
      <c r="C190" s="1">
        <v>49.0</v>
      </c>
      <c r="D190" s="1">
        <v>0.7273</v>
      </c>
      <c r="E190" s="1">
        <v>0.7273</v>
      </c>
      <c r="F190" s="1">
        <v>0.7273</v>
      </c>
      <c r="G190" s="10">
        <v>2.0</v>
      </c>
      <c r="H190" s="1">
        <v>8.0</v>
      </c>
      <c r="I190" s="1">
        <v>3.0</v>
      </c>
      <c r="J190" s="1">
        <v>35.0</v>
      </c>
      <c r="K190" s="1">
        <v>3.0</v>
      </c>
      <c r="L190" s="1">
        <v>0.8776</v>
      </c>
      <c r="M190" s="1">
        <v>0.7273</v>
      </c>
    </row>
    <row r="191">
      <c r="A191" s="1" t="s">
        <v>50</v>
      </c>
      <c r="B191" s="1" t="s">
        <v>28</v>
      </c>
      <c r="C191" s="1">
        <v>679.0</v>
      </c>
      <c r="D191" s="1">
        <v>0.75</v>
      </c>
      <c r="E191" s="1">
        <v>0.6774</v>
      </c>
      <c r="F191" s="1">
        <v>0.7119</v>
      </c>
      <c r="G191" s="10">
        <v>3.0</v>
      </c>
      <c r="H191" s="1">
        <v>63.0</v>
      </c>
      <c r="I191" s="1">
        <v>21.0</v>
      </c>
      <c r="J191" s="1">
        <v>565.0</v>
      </c>
      <c r="K191" s="1">
        <v>30.0</v>
      </c>
      <c r="L191" s="1">
        <v>0.9249</v>
      </c>
      <c r="M191" s="1">
        <v>0.6908</v>
      </c>
    </row>
    <row r="192">
      <c r="A192" s="1" t="s">
        <v>55</v>
      </c>
      <c r="B192" s="1" t="s">
        <v>28</v>
      </c>
      <c r="C192" s="1">
        <v>469.0</v>
      </c>
      <c r="D192" s="1">
        <v>0.66</v>
      </c>
      <c r="E192" s="1">
        <v>0.75</v>
      </c>
      <c r="F192" s="1">
        <v>0.7021</v>
      </c>
      <c r="G192" s="10">
        <v>4.0</v>
      </c>
      <c r="H192" s="1">
        <v>33.0</v>
      </c>
      <c r="I192" s="1">
        <v>17.0</v>
      </c>
      <c r="J192" s="1">
        <v>408.0</v>
      </c>
      <c r="K192" s="1">
        <v>11.0</v>
      </c>
      <c r="L192" s="1">
        <v>0.9403</v>
      </c>
      <c r="M192" s="1">
        <v>0.7301</v>
      </c>
    </row>
    <row r="193">
      <c r="A193" s="1" t="s">
        <v>43</v>
      </c>
      <c r="B193" s="1" t="s">
        <v>28</v>
      </c>
      <c r="C193" s="1">
        <v>194.0</v>
      </c>
      <c r="D193" s="1">
        <v>0.6875</v>
      </c>
      <c r="E193" s="1">
        <v>0.7174</v>
      </c>
      <c r="F193" s="1">
        <v>0.7021</v>
      </c>
      <c r="G193" s="10">
        <v>5.0</v>
      </c>
      <c r="H193" s="1">
        <v>33.0</v>
      </c>
      <c r="I193" s="1">
        <v>15.0</v>
      </c>
      <c r="J193" s="1">
        <v>133.0</v>
      </c>
      <c r="K193" s="1">
        <v>13.0</v>
      </c>
      <c r="L193" s="1">
        <v>0.8557</v>
      </c>
      <c r="M193" s="1">
        <v>0.7112</v>
      </c>
    </row>
    <row r="194">
      <c r="A194" s="1" t="s">
        <v>51</v>
      </c>
      <c r="B194" s="1" t="s">
        <v>28</v>
      </c>
      <c r="C194" s="1">
        <v>662.0</v>
      </c>
      <c r="D194" s="1">
        <v>0.6382</v>
      </c>
      <c r="E194" s="1">
        <v>0.7405</v>
      </c>
      <c r="F194" s="1">
        <v>0.6855</v>
      </c>
      <c r="G194" s="10">
        <v>6.0</v>
      </c>
      <c r="H194" s="1">
        <v>97.0</v>
      </c>
      <c r="I194" s="1">
        <v>55.0</v>
      </c>
      <c r="J194" s="1">
        <v>476.0</v>
      </c>
      <c r="K194" s="1">
        <v>34.0</v>
      </c>
      <c r="L194" s="1">
        <v>0.8656</v>
      </c>
      <c r="M194" s="1">
        <v>0.7175</v>
      </c>
    </row>
    <row r="195">
      <c r="A195" s="1" t="s">
        <v>49</v>
      </c>
      <c r="B195" s="1" t="s">
        <v>28</v>
      </c>
      <c r="C195" s="1">
        <v>95.0</v>
      </c>
      <c r="D195" s="1">
        <v>0.625</v>
      </c>
      <c r="E195" s="1">
        <v>0.75</v>
      </c>
      <c r="F195" s="1">
        <v>0.6818</v>
      </c>
      <c r="G195" s="10">
        <v>7.0</v>
      </c>
      <c r="H195" s="1">
        <v>15.0</v>
      </c>
      <c r="I195" s="1">
        <v>9.0</v>
      </c>
      <c r="J195" s="1">
        <v>66.0</v>
      </c>
      <c r="K195" s="1">
        <v>5.0</v>
      </c>
      <c r="L195" s="1">
        <v>0.8526</v>
      </c>
      <c r="M195" s="1">
        <v>0.7212</v>
      </c>
    </row>
    <row r="196">
      <c r="A196" s="1" t="s">
        <v>47</v>
      </c>
      <c r="B196" s="1" t="s">
        <v>28</v>
      </c>
      <c r="C196" s="1">
        <v>274.0</v>
      </c>
      <c r="D196" s="1">
        <v>0.6271</v>
      </c>
      <c r="E196" s="1">
        <v>0.74</v>
      </c>
      <c r="F196" s="1">
        <v>0.6789</v>
      </c>
      <c r="G196" s="10">
        <v>8.0</v>
      </c>
      <c r="H196" s="1">
        <v>37.0</v>
      </c>
      <c r="I196" s="1">
        <v>22.0</v>
      </c>
      <c r="J196" s="1">
        <v>202.0</v>
      </c>
      <c r="K196" s="1">
        <v>13.0</v>
      </c>
      <c r="L196" s="1">
        <v>0.8723</v>
      </c>
      <c r="M196" s="1">
        <v>0.7143</v>
      </c>
    </row>
    <row r="197">
      <c r="A197" s="1" t="s">
        <v>53</v>
      </c>
      <c r="B197" s="1" t="s">
        <v>28</v>
      </c>
      <c r="C197" s="1">
        <v>897.0</v>
      </c>
      <c r="D197" s="1">
        <v>0.6173</v>
      </c>
      <c r="E197" s="1">
        <v>0.7202</v>
      </c>
      <c r="F197" s="1">
        <v>0.6648</v>
      </c>
      <c r="G197" s="10">
        <v>9.0</v>
      </c>
      <c r="H197" s="1">
        <v>121.0</v>
      </c>
      <c r="I197" s="1">
        <v>75.0</v>
      </c>
      <c r="J197" s="1">
        <v>654.0</v>
      </c>
      <c r="K197" s="1">
        <v>47.0</v>
      </c>
      <c r="L197" s="1">
        <v>0.864</v>
      </c>
      <c r="M197" s="1">
        <v>0.697</v>
      </c>
    </row>
    <row r="198">
      <c r="A198" s="1" t="s">
        <v>56</v>
      </c>
      <c r="B198" s="1" t="s">
        <v>28</v>
      </c>
      <c r="C198" s="1">
        <v>446.0</v>
      </c>
      <c r="D198" s="1">
        <v>0.6226</v>
      </c>
      <c r="E198" s="1">
        <v>0.6875</v>
      </c>
      <c r="F198" s="1">
        <v>0.6535</v>
      </c>
      <c r="G198" s="10">
        <v>10.0</v>
      </c>
      <c r="H198" s="1">
        <v>33.0</v>
      </c>
      <c r="I198" s="1">
        <v>20.0</v>
      </c>
      <c r="J198" s="1">
        <v>378.0</v>
      </c>
      <c r="K198" s="1">
        <v>15.0</v>
      </c>
      <c r="L198" s="1">
        <v>0.9215</v>
      </c>
      <c r="M198" s="1">
        <v>0.6735</v>
      </c>
    </row>
    <row r="199">
      <c r="A199" s="1" t="s">
        <v>44</v>
      </c>
      <c r="B199" s="1" t="s">
        <v>28</v>
      </c>
      <c r="C199" s="1">
        <v>65.0</v>
      </c>
      <c r="D199" s="1">
        <v>0.6429</v>
      </c>
      <c r="E199" s="1">
        <v>0.6429</v>
      </c>
      <c r="F199" s="1">
        <v>0.6429</v>
      </c>
      <c r="G199" s="10">
        <v>11.0</v>
      </c>
      <c r="H199" s="1">
        <v>9.0</v>
      </c>
      <c r="I199" s="1">
        <v>5.0</v>
      </c>
      <c r="J199" s="1">
        <v>46.0</v>
      </c>
      <c r="K199" s="1">
        <v>5.0</v>
      </c>
      <c r="L199" s="1">
        <v>0.8462</v>
      </c>
      <c r="M199" s="1">
        <v>0.6429</v>
      </c>
    </row>
    <row r="200">
      <c r="A200" s="1" t="s">
        <v>57</v>
      </c>
      <c r="B200" s="1" t="s">
        <v>28</v>
      </c>
      <c r="C200" s="1">
        <v>153.0</v>
      </c>
      <c r="D200" s="1">
        <v>0.5278</v>
      </c>
      <c r="E200" s="1">
        <v>0.76</v>
      </c>
      <c r="F200" s="1">
        <v>0.623</v>
      </c>
      <c r="G200" s="10">
        <v>12.0</v>
      </c>
      <c r="H200" s="1">
        <v>19.0</v>
      </c>
      <c r="I200" s="1">
        <v>17.0</v>
      </c>
      <c r="J200" s="1">
        <v>111.0</v>
      </c>
      <c r="K200" s="1">
        <v>6.0</v>
      </c>
      <c r="L200" s="1">
        <v>0.8497</v>
      </c>
      <c r="M200" s="1">
        <v>0.6985</v>
      </c>
    </row>
    <row r="201">
      <c r="A201" s="1" t="s">
        <v>42</v>
      </c>
      <c r="B201" s="1" t="s">
        <v>28</v>
      </c>
      <c r="C201" s="1">
        <v>16.0</v>
      </c>
      <c r="D201" s="1">
        <v>0.5714</v>
      </c>
      <c r="E201" s="1">
        <v>0.6667</v>
      </c>
      <c r="F201" s="1">
        <v>0.6154</v>
      </c>
      <c r="G201" s="10">
        <v>13.0</v>
      </c>
      <c r="H201" s="1">
        <v>4.0</v>
      </c>
      <c r="I201" s="1">
        <v>3.0</v>
      </c>
      <c r="J201" s="1">
        <v>7.0</v>
      </c>
      <c r="K201" s="1">
        <v>2.0</v>
      </c>
      <c r="L201" s="1">
        <v>0.6875</v>
      </c>
      <c r="M201" s="1">
        <v>0.6452</v>
      </c>
    </row>
    <row r="202">
      <c r="A202" s="1" t="s">
        <v>46</v>
      </c>
      <c r="B202" s="1" t="s">
        <v>28</v>
      </c>
      <c r="C202" s="1">
        <v>89.0</v>
      </c>
      <c r="D202" s="1">
        <v>0.6</v>
      </c>
      <c r="E202" s="1">
        <v>0.6</v>
      </c>
      <c r="F202" s="1">
        <v>0.6</v>
      </c>
      <c r="G202" s="10">
        <v>14.0</v>
      </c>
      <c r="H202" s="1">
        <v>3.0</v>
      </c>
      <c r="I202" s="1">
        <v>2.0</v>
      </c>
      <c r="J202" s="1">
        <v>82.0</v>
      </c>
      <c r="K202" s="1">
        <v>2.0</v>
      </c>
      <c r="L202" s="1">
        <v>0.9551</v>
      </c>
      <c r="M202" s="1">
        <v>0.6</v>
      </c>
    </row>
    <row r="203">
      <c r="A203" s="1" t="s">
        <v>58</v>
      </c>
      <c r="B203" s="1" t="s">
        <v>28</v>
      </c>
      <c r="C203" s="1">
        <v>117.0</v>
      </c>
      <c r="D203" s="1">
        <v>0.55</v>
      </c>
      <c r="E203" s="1">
        <v>0.6471</v>
      </c>
      <c r="F203" s="1">
        <v>0.5946</v>
      </c>
      <c r="G203" s="10">
        <v>15.0</v>
      </c>
      <c r="H203" s="1">
        <v>11.0</v>
      </c>
      <c r="I203" s="1">
        <v>9.0</v>
      </c>
      <c r="J203" s="1">
        <v>91.0</v>
      </c>
      <c r="K203" s="1">
        <v>6.0</v>
      </c>
      <c r="L203" s="1">
        <v>0.8718</v>
      </c>
      <c r="M203" s="1">
        <v>0.625</v>
      </c>
    </row>
    <row r="204">
      <c r="A204" s="1" t="s">
        <v>52</v>
      </c>
      <c r="B204" s="1" t="s">
        <v>28</v>
      </c>
      <c r="C204" s="1">
        <v>587.0</v>
      </c>
      <c r="D204" s="1">
        <v>0.5648</v>
      </c>
      <c r="E204" s="1">
        <v>0.61</v>
      </c>
      <c r="F204" s="1">
        <v>0.5865</v>
      </c>
      <c r="G204" s="10">
        <v>16.0</v>
      </c>
      <c r="H204" s="1">
        <v>61.0</v>
      </c>
      <c r="I204" s="1">
        <v>47.0</v>
      </c>
      <c r="J204" s="1">
        <v>440.0</v>
      </c>
      <c r="K204" s="1">
        <v>39.0</v>
      </c>
      <c r="L204" s="1">
        <v>0.8535</v>
      </c>
      <c r="M204" s="1">
        <v>0.6004</v>
      </c>
    </row>
    <row r="205">
      <c r="A205" s="1" t="s">
        <v>54</v>
      </c>
      <c r="B205" s="1" t="s">
        <v>28</v>
      </c>
      <c r="C205" s="1">
        <v>49.0</v>
      </c>
      <c r="D205" s="1">
        <v>0.2</v>
      </c>
      <c r="E205" s="1">
        <v>0.2</v>
      </c>
      <c r="F205" s="1">
        <v>0.2</v>
      </c>
      <c r="G205" s="10">
        <v>17.0</v>
      </c>
      <c r="H205" s="1">
        <v>1.0</v>
      </c>
      <c r="I205" s="1">
        <v>4.0</v>
      </c>
      <c r="J205" s="1">
        <v>40.0</v>
      </c>
      <c r="K205" s="1">
        <v>4.0</v>
      </c>
      <c r="L205" s="1">
        <v>0.8367</v>
      </c>
      <c r="M205" s="1">
        <v>0.2</v>
      </c>
    </row>
  </sheetData>
  <autoFilter ref="$A$1:$M$205">
    <sortState ref="A1:M205">
      <sortCondition descending="1" ref="F1:F205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5"/>
    <col customWidth="1" min="9" max="9" width="22.63"/>
  </cols>
  <sheetData>
    <row r="1">
      <c r="A1" s="1" t="s">
        <v>59</v>
      </c>
      <c r="I1" s="1" t="s">
        <v>60</v>
      </c>
    </row>
    <row r="2">
      <c r="A2" s="12" t="s">
        <v>40</v>
      </c>
      <c r="B2" s="12" t="s">
        <v>61</v>
      </c>
      <c r="C2" s="12" t="s">
        <v>62</v>
      </c>
      <c r="D2" s="12" t="s">
        <v>63</v>
      </c>
      <c r="E2" s="12" t="s">
        <v>33</v>
      </c>
      <c r="F2" s="12" t="s">
        <v>34</v>
      </c>
      <c r="G2" s="12" t="s">
        <v>35</v>
      </c>
      <c r="H2" s="12"/>
      <c r="I2" s="12" t="s">
        <v>40</v>
      </c>
      <c r="J2" s="12" t="s">
        <v>61</v>
      </c>
      <c r="K2" s="12" t="s">
        <v>62</v>
      </c>
      <c r="L2" s="12" t="s">
        <v>63</v>
      </c>
      <c r="M2" s="12" t="s">
        <v>33</v>
      </c>
      <c r="N2" s="12" t="s">
        <v>34</v>
      </c>
      <c r="O2" s="12" t="s">
        <v>35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45</v>
      </c>
      <c r="B3" s="9">
        <v>49.0</v>
      </c>
      <c r="C3" s="7">
        <v>3.75</v>
      </c>
      <c r="D3" s="7">
        <v>3.0</v>
      </c>
      <c r="E3" s="7">
        <v>0.7320583333333333</v>
      </c>
      <c r="F3" s="7">
        <v>0.6969833333333333</v>
      </c>
      <c r="G3" s="7">
        <v>0.6988833333333333</v>
      </c>
      <c r="I3" s="14" t="s">
        <v>48</v>
      </c>
      <c r="J3" s="9">
        <v>26.0</v>
      </c>
      <c r="K3" s="7">
        <v>3.6666666666666665</v>
      </c>
      <c r="L3" s="7">
        <v>1.5</v>
      </c>
      <c r="M3" s="7">
        <v>0.6355166666666667</v>
      </c>
      <c r="N3" s="7">
        <v>0.7333333333333333</v>
      </c>
      <c r="O3" s="7">
        <v>0.6759166666666667</v>
      </c>
    </row>
    <row r="4">
      <c r="A4" s="14" t="s">
        <v>48</v>
      </c>
      <c r="B4" s="9">
        <v>26.0</v>
      </c>
      <c r="C4" s="7">
        <v>4.666666666666667</v>
      </c>
      <c r="D4" s="7">
        <v>2.0</v>
      </c>
      <c r="E4" s="7">
        <v>0.6774833333333333</v>
      </c>
      <c r="F4" s="7">
        <v>0.6999999999999998</v>
      </c>
      <c r="G4" s="7">
        <v>0.6795833333333333</v>
      </c>
      <c r="I4" s="13" t="s">
        <v>45</v>
      </c>
      <c r="J4" s="9">
        <v>49.0</v>
      </c>
      <c r="K4" s="7">
        <v>4.833333333333333</v>
      </c>
      <c r="L4" s="7">
        <v>3.0</v>
      </c>
      <c r="M4" s="7">
        <v>0.6726666666666667</v>
      </c>
      <c r="N4" s="7">
        <v>0.6363666666666666</v>
      </c>
      <c r="O4" s="7">
        <v>0.6275000000000001</v>
      </c>
    </row>
    <row r="5">
      <c r="A5" s="15" t="s">
        <v>47</v>
      </c>
      <c r="B5" s="9">
        <v>274.0</v>
      </c>
      <c r="C5" s="7">
        <v>6.0</v>
      </c>
      <c r="D5" s="7">
        <v>6.0</v>
      </c>
      <c r="E5" s="7">
        <v>0.6300416666666666</v>
      </c>
      <c r="F5" s="7">
        <v>0.73</v>
      </c>
      <c r="G5" s="7">
        <v>0.6594</v>
      </c>
      <c r="I5" s="16" t="s">
        <v>42</v>
      </c>
      <c r="J5" s="9">
        <v>16.0</v>
      </c>
      <c r="K5" s="7">
        <v>6.166666666666667</v>
      </c>
      <c r="L5" s="7">
        <v>3.0</v>
      </c>
      <c r="M5" s="7">
        <v>0.7142833333333334</v>
      </c>
      <c r="N5" s="7">
        <v>0.6388833333333334</v>
      </c>
      <c r="O5" s="7">
        <v>0.6500666666666667</v>
      </c>
    </row>
    <row r="6">
      <c r="A6" s="9" t="s">
        <v>44</v>
      </c>
      <c r="B6" s="9">
        <v>65.0</v>
      </c>
      <c r="C6" s="7">
        <v>6.083333333333333</v>
      </c>
      <c r="D6" s="7">
        <v>4.0</v>
      </c>
      <c r="E6" s="7">
        <v>0.7316833333333334</v>
      </c>
      <c r="F6" s="7">
        <v>0.6428666666666666</v>
      </c>
      <c r="G6" s="7">
        <v>0.6769583333333333</v>
      </c>
      <c r="I6" s="9" t="s">
        <v>43</v>
      </c>
      <c r="J6" s="9">
        <v>194.0</v>
      </c>
      <c r="K6" s="7">
        <v>6.666666666666667</v>
      </c>
      <c r="L6" s="7">
        <v>5.0</v>
      </c>
      <c r="M6" s="7">
        <v>0.6129666666666665</v>
      </c>
      <c r="N6" s="7">
        <v>0.6449166666666667</v>
      </c>
      <c r="O6" s="7">
        <v>0.6039666666666667</v>
      </c>
    </row>
    <row r="7">
      <c r="A7" s="16" t="s">
        <v>42</v>
      </c>
      <c r="B7" s="9">
        <v>16.0</v>
      </c>
      <c r="C7" s="7">
        <v>6.666666666666667</v>
      </c>
      <c r="D7" s="7">
        <v>4.0</v>
      </c>
      <c r="E7" s="7">
        <v>0.752875</v>
      </c>
      <c r="F7" s="7">
        <v>0.6388833333333334</v>
      </c>
      <c r="G7" s="7">
        <v>0.6614</v>
      </c>
      <c r="I7" s="15" t="s">
        <v>47</v>
      </c>
      <c r="J7" s="9">
        <v>274.0</v>
      </c>
      <c r="K7" s="7">
        <v>6.833333333333333</v>
      </c>
      <c r="L7" s="7">
        <v>7.0</v>
      </c>
      <c r="M7" s="7">
        <v>0.6014833333333333</v>
      </c>
      <c r="N7" s="7">
        <v>0.6933333333333334</v>
      </c>
      <c r="O7" s="7">
        <v>0.6143500000000001</v>
      </c>
    </row>
    <row r="8">
      <c r="A8" s="9" t="s">
        <v>43</v>
      </c>
      <c r="B8" s="9">
        <v>194.0</v>
      </c>
      <c r="C8" s="7">
        <v>7.166666666666667</v>
      </c>
      <c r="D8" s="7">
        <v>6.0</v>
      </c>
      <c r="E8" s="7">
        <v>0.6390583333333334</v>
      </c>
      <c r="F8" s="7">
        <v>0.67935</v>
      </c>
      <c r="G8" s="7">
        <v>0.6437916666666667</v>
      </c>
      <c r="I8" s="9" t="s">
        <v>51</v>
      </c>
      <c r="J8" s="9">
        <v>662.0</v>
      </c>
      <c r="K8" s="7">
        <v>6.833333333333333</v>
      </c>
      <c r="L8" s="7">
        <v>6.5</v>
      </c>
      <c r="M8" s="7">
        <v>0.5635166666666667</v>
      </c>
      <c r="N8" s="7">
        <v>0.6819500000000001</v>
      </c>
      <c r="O8" s="7">
        <v>0.5960666666666666</v>
      </c>
    </row>
    <row r="9">
      <c r="A9" s="9" t="s">
        <v>51</v>
      </c>
      <c r="B9" s="9">
        <v>662.0</v>
      </c>
      <c r="C9" s="7">
        <v>7.75</v>
      </c>
      <c r="D9" s="7">
        <v>7.5</v>
      </c>
      <c r="E9" s="7">
        <v>0.5908833333333334</v>
      </c>
      <c r="F9" s="7">
        <v>0.6978416666666667</v>
      </c>
      <c r="G9" s="7">
        <v>0.6265250000000001</v>
      </c>
      <c r="I9" s="9" t="s">
        <v>44</v>
      </c>
      <c r="J9" s="9">
        <v>65.0</v>
      </c>
      <c r="K9" s="7">
        <v>6.833333333333333</v>
      </c>
      <c r="L9" s="7">
        <v>6.5</v>
      </c>
      <c r="M9" s="7">
        <v>0.6701833333333335</v>
      </c>
      <c r="N9" s="7">
        <v>0.6071500000000001</v>
      </c>
      <c r="O9" s="7">
        <v>0.6281666666666667</v>
      </c>
    </row>
    <row r="10">
      <c r="A10" s="9" t="s">
        <v>49</v>
      </c>
      <c r="B10" s="9">
        <v>95.0</v>
      </c>
      <c r="C10" s="7">
        <v>7.916666666666667</v>
      </c>
      <c r="D10" s="7">
        <v>7.0</v>
      </c>
      <c r="E10" s="7">
        <v>0.65145</v>
      </c>
      <c r="F10" s="7">
        <v>0.6208333333333335</v>
      </c>
      <c r="G10" s="7">
        <v>0.625225</v>
      </c>
      <c r="I10" s="17" t="s">
        <v>55</v>
      </c>
      <c r="J10" s="9">
        <v>469.0</v>
      </c>
      <c r="K10" s="7">
        <v>7.5</v>
      </c>
      <c r="L10" s="7">
        <v>5.5</v>
      </c>
      <c r="M10" s="7">
        <v>0.5192666666666667</v>
      </c>
      <c r="N10" s="7">
        <v>0.7310500000000001</v>
      </c>
      <c r="O10" s="7">
        <v>0.5901</v>
      </c>
    </row>
    <row r="11">
      <c r="A11" s="9" t="s">
        <v>53</v>
      </c>
      <c r="B11" s="9">
        <v>897.0</v>
      </c>
      <c r="C11" s="7">
        <v>8.083333333333334</v>
      </c>
      <c r="D11" s="7">
        <v>8.0</v>
      </c>
      <c r="E11" s="7">
        <v>0.5759333333333333</v>
      </c>
      <c r="F11" s="7">
        <v>0.71775</v>
      </c>
      <c r="G11" s="7">
        <v>0.625675</v>
      </c>
      <c r="I11" s="9" t="s">
        <v>53</v>
      </c>
      <c r="J11" s="9">
        <v>897.0</v>
      </c>
      <c r="K11" s="7">
        <v>7.833333333333333</v>
      </c>
      <c r="L11" s="7">
        <v>8.0</v>
      </c>
      <c r="M11" s="7">
        <v>0.5455666666666666</v>
      </c>
      <c r="N11" s="7">
        <v>0.6984</v>
      </c>
      <c r="O11" s="7">
        <v>0.5917166666666667</v>
      </c>
    </row>
    <row r="12">
      <c r="A12" s="9" t="s">
        <v>50</v>
      </c>
      <c r="B12" s="9">
        <v>679.0</v>
      </c>
      <c r="C12" s="7">
        <v>8.416666666666666</v>
      </c>
      <c r="D12" s="7">
        <v>8.5</v>
      </c>
      <c r="E12" s="7">
        <v>0.6136666666666667</v>
      </c>
      <c r="F12" s="7">
        <v>0.6550166666666667</v>
      </c>
      <c r="G12" s="7">
        <v>0.6188583333333333</v>
      </c>
      <c r="I12" s="9" t="s">
        <v>50</v>
      </c>
      <c r="J12" s="9">
        <v>679.0</v>
      </c>
      <c r="K12" s="7">
        <v>8.666666666666666</v>
      </c>
      <c r="L12" s="7">
        <v>9.0</v>
      </c>
      <c r="M12" s="7">
        <v>0.5618333333333333</v>
      </c>
      <c r="N12" s="7">
        <v>0.6200666666666667</v>
      </c>
      <c r="O12" s="7">
        <v>0.5715833333333333</v>
      </c>
    </row>
    <row r="13">
      <c r="A13" s="17" t="s">
        <v>55</v>
      </c>
      <c r="B13" s="9">
        <v>469.0</v>
      </c>
      <c r="C13" s="7">
        <v>10.333333333333334</v>
      </c>
      <c r="D13" s="7">
        <v>13.0</v>
      </c>
      <c r="E13" s="7">
        <v>0.51105</v>
      </c>
      <c r="F13" s="7">
        <v>0.7443083333333332</v>
      </c>
      <c r="G13" s="7">
        <v>0.5941</v>
      </c>
      <c r="I13" s="9" t="s">
        <v>49</v>
      </c>
      <c r="J13" s="9">
        <v>95.0</v>
      </c>
      <c r="K13" s="7">
        <v>8.666666666666666</v>
      </c>
      <c r="L13" s="7">
        <v>7.0</v>
      </c>
      <c r="M13" s="7">
        <v>0.60055</v>
      </c>
      <c r="N13" s="7">
        <v>0.5750000000000001</v>
      </c>
      <c r="O13" s="7">
        <v>0.5686166666666667</v>
      </c>
    </row>
    <row r="14">
      <c r="A14" s="9" t="s">
        <v>56</v>
      </c>
      <c r="B14" s="9">
        <v>446.0</v>
      </c>
      <c r="C14" s="7">
        <v>10.666666666666666</v>
      </c>
      <c r="D14" s="7">
        <v>11.0</v>
      </c>
      <c r="E14" s="7">
        <v>0.5745583333333334</v>
      </c>
      <c r="F14" s="7">
        <v>0.6388916666666666</v>
      </c>
      <c r="G14" s="7">
        <v>0.5957916666666666</v>
      </c>
      <c r="I14" s="9" t="s">
        <v>56</v>
      </c>
      <c r="J14" s="9">
        <v>446.0</v>
      </c>
      <c r="K14" s="7">
        <v>10.666666666666666</v>
      </c>
      <c r="L14" s="7">
        <v>10.5</v>
      </c>
      <c r="M14" s="7">
        <v>0.5254666666666666</v>
      </c>
      <c r="N14" s="7">
        <v>0.6041666666666666</v>
      </c>
      <c r="O14" s="7">
        <v>0.5483333333333333</v>
      </c>
    </row>
    <row r="15">
      <c r="A15" s="9" t="s">
        <v>46</v>
      </c>
      <c r="B15" s="9">
        <v>89.0</v>
      </c>
      <c r="C15" s="7">
        <v>11.25</v>
      </c>
      <c r="D15" s="7">
        <v>14.5</v>
      </c>
      <c r="E15" s="7">
        <v>0.5625</v>
      </c>
      <c r="F15" s="7">
        <v>0.5166666666666667</v>
      </c>
      <c r="G15" s="7">
        <v>0.5132500000000001</v>
      </c>
      <c r="I15" s="18" t="s">
        <v>57</v>
      </c>
      <c r="J15" s="9">
        <v>153.0</v>
      </c>
      <c r="K15" s="7">
        <v>10.666666666666666</v>
      </c>
      <c r="L15" s="7">
        <v>11.0</v>
      </c>
      <c r="M15" s="7">
        <v>0.48491666666666666</v>
      </c>
      <c r="N15" s="7">
        <v>0.68</v>
      </c>
      <c r="O15" s="7">
        <v>0.5476000000000001</v>
      </c>
    </row>
    <row r="16">
      <c r="A16" s="19" t="s">
        <v>52</v>
      </c>
      <c r="B16" s="9">
        <v>587.0</v>
      </c>
      <c r="C16" s="7">
        <v>11.5</v>
      </c>
      <c r="D16" s="7">
        <v>11.5</v>
      </c>
      <c r="E16" s="7">
        <v>0.5748083333333333</v>
      </c>
      <c r="F16" s="7">
        <v>0.6216666666666667</v>
      </c>
      <c r="G16" s="7">
        <v>0.5853166666666667</v>
      </c>
      <c r="I16" s="19" t="s">
        <v>52</v>
      </c>
      <c r="J16" s="9">
        <v>587.0</v>
      </c>
      <c r="K16" s="7">
        <v>12.166666666666666</v>
      </c>
      <c r="L16" s="7">
        <v>12.0</v>
      </c>
      <c r="M16" s="7">
        <v>0.5299</v>
      </c>
      <c r="N16" s="7">
        <v>0.5683333333333332</v>
      </c>
      <c r="O16" s="7">
        <v>0.5317166666666667</v>
      </c>
    </row>
    <row r="17">
      <c r="A17" s="18" t="s">
        <v>57</v>
      </c>
      <c r="B17" s="9">
        <v>153.0</v>
      </c>
      <c r="C17" s="7">
        <v>11.916666666666666</v>
      </c>
      <c r="D17" s="7">
        <v>12.0</v>
      </c>
      <c r="E17" s="7">
        <v>0.5222333333333333</v>
      </c>
      <c r="F17" s="7">
        <v>0.6833333333333332</v>
      </c>
      <c r="G17" s="7">
        <v>0.5775583333333333</v>
      </c>
      <c r="I17" s="9" t="s">
        <v>46</v>
      </c>
      <c r="J17" s="9">
        <v>89.0</v>
      </c>
      <c r="K17" s="7">
        <v>13.333333333333334</v>
      </c>
      <c r="L17" s="7">
        <v>15.5</v>
      </c>
      <c r="M17" s="7">
        <v>0.45</v>
      </c>
      <c r="N17" s="7">
        <v>0.46666666666666673</v>
      </c>
      <c r="O17" s="7">
        <v>0.45070000000000005</v>
      </c>
    </row>
    <row r="18">
      <c r="A18" s="20" t="s">
        <v>54</v>
      </c>
      <c r="B18" s="9">
        <v>49.0</v>
      </c>
      <c r="C18" s="7">
        <v>15.083333333333334</v>
      </c>
      <c r="D18" s="7">
        <v>15.5</v>
      </c>
      <c r="E18" s="7">
        <v>0.3902333333333334</v>
      </c>
      <c r="F18" s="7">
        <v>0.4833333333333334</v>
      </c>
      <c r="G18" s="7">
        <v>0.40495</v>
      </c>
      <c r="I18" s="21" t="s">
        <v>58</v>
      </c>
      <c r="J18" s="9">
        <v>117.0</v>
      </c>
      <c r="K18" s="7">
        <v>15.666666666666666</v>
      </c>
      <c r="L18" s="7">
        <v>16.0</v>
      </c>
      <c r="M18" s="7">
        <v>0.3967333333333333</v>
      </c>
      <c r="N18" s="7">
        <v>0.5098166666666667</v>
      </c>
      <c r="O18" s="7">
        <v>0.42121666666666674</v>
      </c>
    </row>
    <row r="19">
      <c r="A19" s="21" t="s">
        <v>58</v>
      </c>
      <c r="B19" s="9">
        <v>117.0</v>
      </c>
      <c r="C19" s="7">
        <v>15.75</v>
      </c>
      <c r="D19" s="7">
        <v>16.0</v>
      </c>
      <c r="E19" s="7">
        <v>0.4082083333333333</v>
      </c>
      <c r="F19" s="7">
        <v>0.539225</v>
      </c>
      <c r="G19" s="7">
        <v>0.4447083333333333</v>
      </c>
      <c r="I19" s="20" t="s">
        <v>54</v>
      </c>
      <c r="J19" s="9">
        <v>49.0</v>
      </c>
      <c r="K19" s="7">
        <v>16.0</v>
      </c>
      <c r="L19" s="7">
        <v>17.0</v>
      </c>
      <c r="M19" s="7">
        <v>0.3623166666666667</v>
      </c>
      <c r="N19" s="7">
        <v>0.43333333333333335</v>
      </c>
      <c r="O19" s="7">
        <v>0.3582166666666667</v>
      </c>
    </row>
    <row r="20">
      <c r="A20" s="9" t="s">
        <v>36</v>
      </c>
      <c r="B20" s="9">
        <v>286.29411764705884</v>
      </c>
      <c r="C20" s="7">
        <v>9.0</v>
      </c>
      <c r="D20" s="7">
        <v>9.0</v>
      </c>
      <c r="E20" s="7">
        <v>0.5963955882352941</v>
      </c>
      <c r="F20" s="7">
        <v>0.6474676470588238</v>
      </c>
      <c r="G20" s="7">
        <v>0.6018808823529415</v>
      </c>
      <c r="I20" s="9" t="s">
        <v>36</v>
      </c>
      <c r="J20" s="9">
        <v>286.29411764705884</v>
      </c>
      <c r="K20" s="7">
        <v>9.0</v>
      </c>
      <c r="L20" s="7">
        <v>9.0</v>
      </c>
      <c r="M20" s="7">
        <v>0.5557156862745095</v>
      </c>
      <c r="N20" s="7">
        <v>0.6189862745098037</v>
      </c>
      <c r="O20" s="7">
        <v>0.5632843137254901</v>
      </c>
    </row>
    <row r="24">
      <c r="A24" s="1" t="s">
        <v>64</v>
      </c>
      <c r="I24" s="1" t="s">
        <v>65</v>
      </c>
    </row>
    <row r="25">
      <c r="A25" s="12" t="s">
        <v>40</v>
      </c>
      <c r="B25" s="12" t="s">
        <v>61</v>
      </c>
      <c r="C25" s="12" t="s">
        <v>62</v>
      </c>
      <c r="D25" s="12" t="s">
        <v>63</v>
      </c>
      <c r="E25" s="12" t="s">
        <v>33</v>
      </c>
      <c r="F25" s="12" t="s">
        <v>34</v>
      </c>
      <c r="G25" s="12" t="s">
        <v>35</v>
      </c>
      <c r="I25" s="12" t="s">
        <v>40</v>
      </c>
      <c r="J25" s="12" t="s">
        <v>61</v>
      </c>
      <c r="K25" s="12" t="s">
        <v>62</v>
      </c>
      <c r="L25" s="12" t="s">
        <v>63</v>
      </c>
      <c r="M25" s="12" t="s">
        <v>33</v>
      </c>
      <c r="N25" s="12" t="s">
        <v>34</v>
      </c>
      <c r="O25" s="12" t="s">
        <v>35</v>
      </c>
    </row>
    <row r="26">
      <c r="A26" s="13" t="s">
        <v>45</v>
      </c>
      <c r="B26" s="9">
        <v>49.0</v>
      </c>
      <c r="C26" s="9">
        <v>1.5</v>
      </c>
      <c r="D26" s="9">
        <v>1.0</v>
      </c>
      <c r="E26" s="7">
        <v>0.872225</v>
      </c>
      <c r="F26" s="7">
        <v>0.77275</v>
      </c>
      <c r="G26" s="7">
        <v>0.8190249999999999</v>
      </c>
      <c r="I26" s="16" t="s">
        <v>42</v>
      </c>
      <c r="J26" s="9">
        <v>16.0</v>
      </c>
      <c r="K26" s="9">
        <v>1.0</v>
      </c>
      <c r="L26" s="9">
        <v>1.0</v>
      </c>
      <c r="M26" s="7">
        <v>0.8571</v>
      </c>
      <c r="N26" s="7">
        <v>1.0</v>
      </c>
      <c r="O26" s="7">
        <v>0.9231</v>
      </c>
    </row>
    <row r="27">
      <c r="A27" s="14" t="s">
        <v>48</v>
      </c>
      <c r="B27" s="9">
        <v>26.0</v>
      </c>
      <c r="C27" s="9">
        <v>2.5</v>
      </c>
      <c r="D27" s="9">
        <v>2.0</v>
      </c>
      <c r="E27" s="7">
        <v>0.7666750000000001</v>
      </c>
      <c r="F27" s="7">
        <v>0.8</v>
      </c>
      <c r="G27" s="7">
        <v>0.7818250000000001</v>
      </c>
      <c r="I27" s="9" t="s">
        <v>43</v>
      </c>
      <c r="J27" s="9">
        <v>194.0</v>
      </c>
      <c r="K27" s="9">
        <v>2.0</v>
      </c>
      <c r="L27" s="9">
        <v>2.0</v>
      </c>
      <c r="M27" s="7">
        <v>0.7885</v>
      </c>
      <c r="N27" s="7">
        <v>0.8913</v>
      </c>
      <c r="O27" s="7">
        <v>0.8367</v>
      </c>
    </row>
    <row r="28">
      <c r="A28" s="15" t="s">
        <v>47</v>
      </c>
      <c r="B28" s="9">
        <v>274.0</v>
      </c>
      <c r="C28" s="9">
        <v>4.5</v>
      </c>
      <c r="D28" s="9">
        <v>4.5</v>
      </c>
      <c r="E28" s="7">
        <v>0.697175</v>
      </c>
      <c r="F28" s="7">
        <v>0.765</v>
      </c>
      <c r="G28" s="7">
        <v>0.725425</v>
      </c>
      <c r="I28" s="9" t="s">
        <v>44</v>
      </c>
      <c r="J28" s="9">
        <v>65.0</v>
      </c>
      <c r="K28" s="9">
        <v>3.0</v>
      </c>
      <c r="L28" s="9">
        <v>3.0</v>
      </c>
      <c r="M28" s="7">
        <v>0.8</v>
      </c>
      <c r="N28" s="7">
        <v>0.8571</v>
      </c>
      <c r="O28" s="7">
        <v>0.8276</v>
      </c>
    </row>
    <row r="29">
      <c r="A29" s="9" t="s">
        <v>44</v>
      </c>
      <c r="B29" s="9">
        <v>65.0</v>
      </c>
      <c r="C29" s="9">
        <v>4.5</v>
      </c>
      <c r="D29" s="9">
        <v>3.5</v>
      </c>
      <c r="E29" s="7">
        <v>0.8731</v>
      </c>
      <c r="F29" s="7">
        <v>0.6786000000000001</v>
      </c>
      <c r="G29" s="7">
        <v>0.761025</v>
      </c>
      <c r="I29" s="13" t="s">
        <v>45</v>
      </c>
      <c r="J29" s="9">
        <v>49.0</v>
      </c>
      <c r="K29" s="9">
        <v>4.0</v>
      </c>
      <c r="L29" s="9">
        <v>4.0</v>
      </c>
      <c r="M29" s="7">
        <v>0.7143</v>
      </c>
      <c r="N29" s="7">
        <v>0.9091</v>
      </c>
      <c r="O29" s="7">
        <v>0.8</v>
      </c>
    </row>
    <row r="30">
      <c r="A30" s="9" t="s">
        <v>49</v>
      </c>
      <c r="B30" s="9">
        <v>95.0</v>
      </c>
      <c r="C30" s="9">
        <v>5.5</v>
      </c>
      <c r="D30" s="9">
        <v>5.0</v>
      </c>
      <c r="E30" s="7">
        <v>0.7588750000000001</v>
      </c>
      <c r="F30" s="7">
        <v>0.7</v>
      </c>
      <c r="G30" s="7">
        <v>0.7255</v>
      </c>
      <c r="I30" s="9" t="s">
        <v>46</v>
      </c>
      <c r="J30" s="9">
        <v>89.0</v>
      </c>
      <c r="K30" s="9">
        <v>5.0</v>
      </c>
      <c r="L30" s="9">
        <v>5.0</v>
      </c>
      <c r="M30" s="7">
        <v>0.8</v>
      </c>
      <c r="N30" s="7">
        <v>0.8</v>
      </c>
      <c r="O30" s="7">
        <v>0.8</v>
      </c>
    </row>
    <row r="31">
      <c r="A31" s="9" t="s">
        <v>50</v>
      </c>
      <c r="B31" s="9">
        <v>679.0</v>
      </c>
      <c r="C31" s="9">
        <v>7.75</v>
      </c>
      <c r="D31" s="9">
        <v>7.5</v>
      </c>
      <c r="E31" s="7">
        <v>0.7349</v>
      </c>
      <c r="F31" s="7">
        <v>0.650525</v>
      </c>
      <c r="G31" s="7">
        <v>0.6882499999999999</v>
      </c>
      <c r="I31" s="15" t="s">
        <v>47</v>
      </c>
      <c r="J31" s="9">
        <v>274.0</v>
      </c>
      <c r="K31" s="9">
        <v>6.0</v>
      </c>
      <c r="L31" s="9">
        <v>6.0</v>
      </c>
      <c r="M31" s="7">
        <v>0.6923</v>
      </c>
      <c r="N31" s="7">
        <v>0.9</v>
      </c>
      <c r="O31" s="7">
        <v>0.7826</v>
      </c>
    </row>
    <row r="32">
      <c r="A32" s="9" t="s">
        <v>53</v>
      </c>
      <c r="B32" s="9">
        <v>897.0</v>
      </c>
      <c r="C32" s="9">
        <v>8.25</v>
      </c>
      <c r="D32" s="9">
        <v>7.5</v>
      </c>
      <c r="E32" s="7">
        <v>0.65305</v>
      </c>
      <c r="F32" s="7">
        <v>0.7068500000000001</v>
      </c>
      <c r="G32" s="7">
        <v>0.67805</v>
      </c>
      <c r="I32" s="14" t="s">
        <v>48</v>
      </c>
      <c r="J32" s="9">
        <v>26.0</v>
      </c>
      <c r="K32" s="9">
        <v>7.0</v>
      </c>
      <c r="L32" s="9">
        <v>7.0</v>
      </c>
      <c r="M32" s="7">
        <v>1.0</v>
      </c>
      <c r="N32" s="7">
        <v>0.6</v>
      </c>
      <c r="O32" s="7">
        <v>0.75</v>
      </c>
    </row>
    <row r="33">
      <c r="A33" s="9" t="s">
        <v>51</v>
      </c>
      <c r="B33" s="9">
        <v>662.0</v>
      </c>
      <c r="C33" s="9">
        <v>8.5</v>
      </c>
      <c r="D33" s="9">
        <v>9.0</v>
      </c>
      <c r="E33" s="7">
        <v>0.665625</v>
      </c>
      <c r="F33" s="7">
        <v>0.6832</v>
      </c>
      <c r="G33" s="7">
        <v>0.6731750000000001</v>
      </c>
      <c r="I33" s="9" t="s">
        <v>49</v>
      </c>
      <c r="J33" s="9">
        <v>95.0</v>
      </c>
      <c r="K33" s="9">
        <v>8.0</v>
      </c>
      <c r="L33" s="9">
        <v>8.0</v>
      </c>
      <c r="M33" s="7">
        <v>0.75</v>
      </c>
      <c r="N33" s="7">
        <v>0.75</v>
      </c>
      <c r="O33" s="7">
        <v>0.75</v>
      </c>
    </row>
    <row r="34">
      <c r="A34" s="16" t="s">
        <v>42</v>
      </c>
      <c r="B34" s="9">
        <v>16.0</v>
      </c>
      <c r="C34" s="9">
        <v>10.25</v>
      </c>
      <c r="D34" s="9">
        <v>10.0</v>
      </c>
      <c r="E34" s="7">
        <v>0.816675</v>
      </c>
      <c r="F34" s="7">
        <v>0.5</v>
      </c>
      <c r="G34" s="7">
        <v>0.59975</v>
      </c>
      <c r="I34" s="9" t="s">
        <v>50</v>
      </c>
      <c r="J34" s="9">
        <v>679.0</v>
      </c>
      <c r="K34" s="9">
        <v>9.0</v>
      </c>
      <c r="L34" s="9">
        <v>9.0</v>
      </c>
      <c r="M34" s="7">
        <v>0.6583</v>
      </c>
      <c r="N34" s="7">
        <v>0.8495</v>
      </c>
      <c r="O34" s="7">
        <v>0.7418</v>
      </c>
    </row>
    <row r="35">
      <c r="A35" s="9" t="s">
        <v>43</v>
      </c>
      <c r="B35" s="9">
        <v>194.0</v>
      </c>
      <c r="C35" s="9">
        <v>10.25</v>
      </c>
      <c r="D35" s="9">
        <v>9.5</v>
      </c>
      <c r="E35" s="7">
        <v>0.6701750000000001</v>
      </c>
      <c r="F35" s="7">
        <v>0.6522</v>
      </c>
      <c r="G35" s="7">
        <v>0.659725</v>
      </c>
      <c r="I35" s="9" t="s">
        <v>51</v>
      </c>
      <c r="J35" s="9">
        <v>662.0</v>
      </c>
      <c r="K35" s="9">
        <v>10.0</v>
      </c>
      <c r="L35" s="9">
        <v>10.0</v>
      </c>
      <c r="M35" s="7">
        <v>0.6064</v>
      </c>
      <c r="N35" s="7">
        <v>0.8702</v>
      </c>
      <c r="O35" s="7">
        <v>0.7147</v>
      </c>
    </row>
    <row r="36">
      <c r="A36" s="19" t="s">
        <v>52</v>
      </c>
      <c r="B36" s="9">
        <v>587.0</v>
      </c>
      <c r="C36" s="9">
        <v>11.0</v>
      </c>
      <c r="D36" s="9">
        <v>11.0</v>
      </c>
      <c r="E36" s="7">
        <v>0.671425</v>
      </c>
      <c r="F36" s="7">
        <v>0.6525</v>
      </c>
      <c r="G36" s="7">
        <v>0.658925</v>
      </c>
      <c r="I36" s="19" t="s">
        <v>52</v>
      </c>
      <c r="J36" s="9">
        <v>587.0</v>
      </c>
      <c r="K36" s="9">
        <v>11.0</v>
      </c>
      <c r="L36" s="9">
        <v>11.0</v>
      </c>
      <c r="M36" s="7">
        <v>0.64</v>
      </c>
      <c r="N36" s="7">
        <v>0.8</v>
      </c>
      <c r="O36" s="7">
        <v>0.7111</v>
      </c>
    </row>
    <row r="37">
      <c r="A37" s="9" t="s">
        <v>56</v>
      </c>
      <c r="B37" s="9">
        <v>446.0</v>
      </c>
      <c r="C37" s="9">
        <v>11.25</v>
      </c>
      <c r="D37" s="9">
        <v>12.0</v>
      </c>
      <c r="E37" s="7">
        <v>0.66545</v>
      </c>
      <c r="F37" s="7">
        <v>0.65105</v>
      </c>
      <c r="G37" s="7">
        <v>0.657975</v>
      </c>
      <c r="I37" s="9" t="s">
        <v>53</v>
      </c>
      <c r="J37" s="9">
        <v>897.0</v>
      </c>
      <c r="K37" s="9">
        <v>12.0</v>
      </c>
      <c r="L37" s="9">
        <v>12.0</v>
      </c>
      <c r="M37" s="7">
        <v>0.5941</v>
      </c>
      <c r="N37" s="7">
        <v>0.8452</v>
      </c>
      <c r="O37" s="7">
        <v>0.6978</v>
      </c>
    </row>
    <row r="38">
      <c r="A38" s="9" t="s">
        <v>46</v>
      </c>
      <c r="B38" s="9">
        <v>89.0</v>
      </c>
      <c r="C38" s="9">
        <v>12.0</v>
      </c>
      <c r="D38" s="9">
        <v>14.5</v>
      </c>
      <c r="E38" s="7">
        <v>0.6875</v>
      </c>
      <c r="F38" s="7">
        <v>0.4</v>
      </c>
      <c r="G38" s="7">
        <v>0.497025</v>
      </c>
      <c r="I38" s="20" t="s">
        <v>54</v>
      </c>
      <c r="J38" s="9">
        <v>49.0</v>
      </c>
      <c r="K38" s="9">
        <v>13.0</v>
      </c>
      <c r="L38" s="9">
        <v>13.0</v>
      </c>
      <c r="M38" s="7">
        <v>0.5714</v>
      </c>
      <c r="N38" s="7">
        <v>0.8</v>
      </c>
      <c r="O38" s="7">
        <v>0.6667</v>
      </c>
    </row>
    <row r="39">
      <c r="A39" s="17" t="s">
        <v>55</v>
      </c>
      <c r="B39" s="9">
        <v>469.0</v>
      </c>
      <c r="C39" s="9">
        <v>12.5</v>
      </c>
      <c r="D39" s="9">
        <v>13.0</v>
      </c>
      <c r="E39" s="7">
        <v>0.551625</v>
      </c>
      <c r="F39" s="7">
        <v>0.75</v>
      </c>
      <c r="G39" s="7">
        <v>0.6346999999999999</v>
      </c>
      <c r="I39" s="17" t="s">
        <v>55</v>
      </c>
      <c r="J39" s="9">
        <v>469.0</v>
      </c>
      <c r="K39" s="9">
        <v>14.0</v>
      </c>
      <c r="L39" s="9">
        <v>14.0</v>
      </c>
      <c r="M39" s="7">
        <v>0.5362</v>
      </c>
      <c r="N39" s="7">
        <v>0.8409</v>
      </c>
      <c r="O39" s="7">
        <v>0.6549</v>
      </c>
    </row>
    <row r="40">
      <c r="A40" s="18" t="s">
        <v>57</v>
      </c>
      <c r="B40" s="9">
        <v>153.0</v>
      </c>
      <c r="C40" s="9">
        <v>12.75</v>
      </c>
      <c r="D40" s="9">
        <v>13.0</v>
      </c>
      <c r="E40" s="7">
        <v>0.6190749999999999</v>
      </c>
      <c r="F40" s="7">
        <v>0.6699999999999999</v>
      </c>
      <c r="G40" s="7">
        <v>0.638025</v>
      </c>
      <c r="I40" s="9" t="s">
        <v>56</v>
      </c>
      <c r="J40" s="9">
        <v>446.0</v>
      </c>
      <c r="K40" s="9">
        <v>15.0</v>
      </c>
      <c r="L40" s="9">
        <v>15.0</v>
      </c>
      <c r="M40" s="7">
        <v>0.6071</v>
      </c>
      <c r="N40" s="7">
        <v>0.7083</v>
      </c>
      <c r="O40" s="7">
        <v>0.6538</v>
      </c>
    </row>
    <row r="41">
      <c r="A41" s="20" t="s">
        <v>54</v>
      </c>
      <c r="B41" s="9">
        <v>49.0</v>
      </c>
      <c r="C41" s="9">
        <v>14.0</v>
      </c>
      <c r="D41" s="9">
        <v>14.5</v>
      </c>
      <c r="E41" s="7">
        <v>0.4375</v>
      </c>
      <c r="F41" s="7">
        <v>0.44999999999999996</v>
      </c>
      <c r="G41" s="7">
        <v>0.43942499999999995</v>
      </c>
      <c r="I41" s="18" t="s">
        <v>57</v>
      </c>
      <c r="J41" s="9">
        <v>153.0</v>
      </c>
      <c r="K41" s="9">
        <v>16.0</v>
      </c>
      <c r="L41" s="9">
        <v>16.0</v>
      </c>
      <c r="M41" s="7">
        <v>0.5</v>
      </c>
      <c r="N41" s="7">
        <v>0.8</v>
      </c>
      <c r="O41" s="7">
        <v>0.6154</v>
      </c>
    </row>
    <row r="42">
      <c r="A42" s="21" t="s">
        <v>58</v>
      </c>
      <c r="B42" s="9">
        <v>117.0</v>
      </c>
      <c r="C42" s="9">
        <v>16.0</v>
      </c>
      <c r="D42" s="9">
        <v>16.0</v>
      </c>
      <c r="E42" s="7">
        <v>0.440475</v>
      </c>
      <c r="F42" s="7">
        <v>0.4853</v>
      </c>
      <c r="G42" s="7">
        <v>0.453375</v>
      </c>
      <c r="I42" s="21" t="s">
        <v>58</v>
      </c>
      <c r="J42" s="9">
        <v>117.0</v>
      </c>
      <c r="K42" s="9">
        <v>17.0</v>
      </c>
      <c r="L42" s="9">
        <v>17.0</v>
      </c>
      <c r="M42" s="7">
        <v>0.4667</v>
      </c>
      <c r="N42" s="7">
        <v>0.8235</v>
      </c>
      <c r="O42" s="7">
        <v>0.5957</v>
      </c>
    </row>
    <row r="43">
      <c r="A43" s="9" t="s">
        <v>36</v>
      </c>
      <c r="B43" s="9">
        <v>286.29411764705884</v>
      </c>
      <c r="C43" s="9">
        <v>9.0</v>
      </c>
      <c r="D43" s="9">
        <v>9.0</v>
      </c>
      <c r="E43" s="9">
        <v>0.6812661764705882</v>
      </c>
      <c r="F43" s="9">
        <v>0.6451750000000002</v>
      </c>
      <c r="G43" s="9">
        <v>0.6524235294117647</v>
      </c>
      <c r="I43" s="9" t="s">
        <v>36</v>
      </c>
      <c r="J43" s="9">
        <v>286.29411764705884</v>
      </c>
      <c r="K43" s="9">
        <v>9.0</v>
      </c>
      <c r="L43" s="9">
        <v>9.0</v>
      </c>
      <c r="M43" s="9">
        <v>0.6813176470588235</v>
      </c>
      <c r="N43" s="9">
        <v>0.8261823529411766</v>
      </c>
      <c r="O43" s="9">
        <v>0.7365823529411765</v>
      </c>
    </row>
    <row r="47">
      <c r="A47" s="1" t="s">
        <v>66</v>
      </c>
    </row>
    <row r="48">
      <c r="A48" s="12" t="s">
        <v>40</v>
      </c>
      <c r="B48" s="12" t="s">
        <v>61</v>
      </c>
      <c r="C48" s="12" t="s">
        <v>62</v>
      </c>
      <c r="D48" s="12" t="s">
        <v>63</v>
      </c>
      <c r="E48" s="12" t="s">
        <v>33</v>
      </c>
      <c r="F48" s="12" t="s">
        <v>34</v>
      </c>
      <c r="G48" s="12" t="s">
        <v>35</v>
      </c>
    </row>
    <row r="49">
      <c r="A49" s="16" t="s">
        <v>42</v>
      </c>
      <c r="B49" s="9">
        <v>16.0</v>
      </c>
      <c r="C49" s="9">
        <v>1.0</v>
      </c>
      <c r="D49" s="9">
        <v>1.0</v>
      </c>
      <c r="E49" s="7">
        <v>0.74105</v>
      </c>
      <c r="F49" s="7">
        <v>0.91665</v>
      </c>
      <c r="G49" s="7">
        <v>0.8187</v>
      </c>
    </row>
    <row r="50">
      <c r="A50" s="9" t="s">
        <v>43</v>
      </c>
      <c r="B50" s="9">
        <v>194.0</v>
      </c>
      <c r="C50" s="9">
        <v>2.5</v>
      </c>
      <c r="D50" s="9">
        <v>2.5</v>
      </c>
      <c r="E50" s="7">
        <v>0.6551</v>
      </c>
      <c r="F50" s="7">
        <v>0.83695</v>
      </c>
      <c r="G50" s="7">
        <v>0.7314</v>
      </c>
    </row>
    <row r="51">
      <c r="A51" s="9" t="s">
        <v>46</v>
      </c>
      <c r="B51" s="9">
        <v>89.0</v>
      </c>
      <c r="C51" s="9">
        <v>3.5</v>
      </c>
      <c r="D51" s="9">
        <v>3.5</v>
      </c>
      <c r="E51" s="7">
        <v>0.65</v>
      </c>
      <c r="F51" s="7">
        <v>0.9</v>
      </c>
      <c r="G51" s="7">
        <v>0.73335</v>
      </c>
    </row>
    <row r="52">
      <c r="A52" s="13" t="s">
        <v>45</v>
      </c>
      <c r="B52" s="9">
        <v>49.0</v>
      </c>
      <c r="C52" s="9">
        <v>5.0</v>
      </c>
      <c r="D52" s="9">
        <v>5.0</v>
      </c>
      <c r="E52" s="7">
        <v>0.6299</v>
      </c>
      <c r="F52" s="7">
        <v>0.7273000000000001</v>
      </c>
      <c r="G52" s="7">
        <v>0.67275</v>
      </c>
    </row>
    <row r="53">
      <c r="A53" s="15" t="s">
        <v>47</v>
      </c>
      <c r="B53" s="9">
        <v>274.0</v>
      </c>
      <c r="C53" s="9">
        <v>6.5</v>
      </c>
      <c r="D53" s="9">
        <v>6.5</v>
      </c>
      <c r="E53" s="7">
        <v>0.58145</v>
      </c>
      <c r="F53" s="7">
        <v>0.77</v>
      </c>
      <c r="G53" s="7">
        <v>0.6625</v>
      </c>
    </row>
    <row r="54">
      <c r="A54" s="9" t="s">
        <v>44</v>
      </c>
      <c r="B54" s="9">
        <v>65.0</v>
      </c>
      <c r="C54" s="9">
        <v>7.0</v>
      </c>
      <c r="D54" s="9">
        <v>7.0</v>
      </c>
      <c r="E54" s="7">
        <v>0.6333500000000001</v>
      </c>
      <c r="F54" s="7">
        <v>0.67855</v>
      </c>
      <c r="G54" s="7">
        <v>0.6552</v>
      </c>
    </row>
    <row r="55">
      <c r="A55" s="9" t="s">
        <v>53</v>
      </c>
      <c r="B55" s="9">
        <v>897.0</v>
      </c>
      <c r="C55" s="9">
        <v>8.5</v>
      </c>
      <c r="D55" s="9">
        <v>8.5</v>
      </c>
      <c r="E55" s="7">
        <v>0.5127999999999999</v>
      </c>
      <c r="F55" s="7">
        <v>0.7976</v>
      </c>
      <c r="G55" s="7">
        <v>0.6228</v>
      </c>
    </row>
    <row r="56">
      <c r="A56" s="9" t="s">
        <v>50</v>
      </c>
      <c r="B56" s="9">
        <v>679.0</v>
      </c>
      <c r="C56" s="9">
        <v>9.0</v>
      </c>
      <c r="D56" s="9">
        <v>9.0</v>
      </c>
      <c r="E56" s="7">
        <v>0.5267</v>
      </c>
      <c r="F56" s="7">
        <v>0.76885</v>
      </c>
      <c r="G56" s="7">
        <v>0.6219</v>
      </c>
    </row>
    <row r="57">
      <c r="A57" s="9" t="s">
        <v>51</v>
      </c>
      <c r="B57" s="9">
        <v>662.0</v>
      </c>
      <c r="C57" s="9">
        <v>9.0</v>
      </c>
      <c r="D57" s="9">
        <v>9.0</v>
      </c>
      <c r="E57" s="7">
        <v>0.5235000000000001</v>
      </c>
      <c r="F57" s="7">
        <v>0.7747999999999999</v>
      </c>
      <c r="G57" s="7">
        <v>0.6246</v>
      </c>
    </row>
    <row r="58">
      <c r="A58" s="9" t="s">
        <v>56</v>
      </c>
      <c r="B58" s="9">
        <v>446.0</v>
      </c>
      <c r="C58" s="9">
        <v>9.5</v>
      </c>
      <c r="D58" s="9">
        <v>9.5</v>
      </c>
      <c r="E58" s="7">
        <v>0.5400499999999999</v>
      </c>
      <c r="F58" s="7">
        <v>0.71875</v>
      </c>
      <c r="G58" s="7">
        <v>0.6138</v>
      </c>
    </row>
    <row r="59">
      <c r="A59" s="9" t="s">
        <v>49</v>
      </c>
      <c r="B59" s="9">
        <v>95.0</v>
      </c>
      <c r="C59" s="9">
        <v>10.5</v>
      </c>
      <c r="D59" s="9">
        <v>10.5</v>
      </c>
      <c r="E59" s="7">
        <v>0.5892999999999999</v>
      </c>
      <c r="F59" s="7">
        <v>0.6</v>
      </c>
      <c r="G59" s="7">
        <v>0.5945</v>
      </c>
    </row>
    <row r="60">
      <c r="A60" s="19" t="s">
        <v>52</v>
      </c>
      <c r="B60" s="9">
        <v>587.0</v>
      </c>
      <c r="C60" s="9">
        <v>10.5</v>
      </c>
      <c r="D60" s="9">
        <v>10.5</v>
      </c>
      <c r="E60" s="7">
        <v>0.5163</v>
      </c>
      <c r="F60" s="7">
        <v>0.72</v>
      </c>
      <c r="G60" s="7">
        <v>0.5989</v>
      </c>
    </row>
    <row r="61">
      <c r="A61" s="14" t="s">
        <v>48</v>
      </c>
      <c r="B61" s="9">
        <v>26.0</v>
      </c>
      <c r="C61" s="9">
        <v>12.0</v>
      </c>
      <c r="D61" s="9">
        <v>12.0</v>
      </c>
      <c r="E61" s="7">
        <v>0.625</v>
      </c>
      <c r="F61" s="7">
        <v>0.4</v>
      </c>
      <c r="G61" s="7">
        <v>0.4861</v>
      </c>
    </row>
    <row r="62">
      <c r="A62" s="18" t="s">
        <v>57</v>
      </c>
      <c r="B62" s="9">
        <v>153.0</v>
      </c>
      <c r="C62" s="9">
        <v>14.0</v>
      </c>
      <c r="D62" s="9">
        <v>14.0</v>
      </c>
      <c r="E62" s="7">
        <v>0.4405</v>
      </c>
      <c r="F62" s="7">
        <v>0.72</v>
      </c>
      <c r="G62" s="7">
        <v>0.5465</v>
      </c>
    </row>
    <row r="63">
      <c r="A63" s="17" t="s">
        <v>55</v>
      </c>
      <c r="B63" s="9">
        <v>469.0</v>
      </c>
      <c r="C63" s="9">
        <v>14.5</v>
      </c>
      <c r="D63" s="9">
        <v>14.5</v>
      </c>
      <c r="E63" s="7">
        <v>0.40525</v>
      </c>
      <c r="F63" s="7">
        <v>0.7726999999999999</v>
      </c>
      <c r="G63" s="7">
        <v>0.5249</v>
      </c>
    </row>
    <row r="64">
      <c r="A64" s="20" t="s">
        <v>54</v>
      </c>
      <c r="B64" s="9">
        <v>49.0</v>
      </c>
      <c r="C64" s="9">
        <v>14.5</v>
      </c>
      <c r="D64" s="9">
        <v>14.5</v>
      </c>
      <c r="E64" s="7">
        <v>0.37945</v>
      </c>
      <c r="F64" s="7">
        <v>0.7</v>
      </c>
      <c r="G64" s="7">
        <v>0.47619999999999996</v>
      </c>
    </row>
    <row r="65">
      <c r="A65" s="21" t="s">
        <v>58</v>
      </c>
      <c r="B65" s="9">
        <v>117.0</v>
      </c>
      <c r="C65" s="9">
        <v>15.5</v>
      </c>
      <c r="D65" s="9">
        <v>15.5</v>
      </c>
      <c r="E65" s="7">
        <v>0.3781</v>
      </c>
      <c r="F65" s="7">
        <v>0.7353000000000001</v>
      </c>
      <c r="G65" s="7">
        <v>0.49785</v>
      </c>
    </row>
    <row r="66">
      <c r="A66" s="9" t="s">
        <v>36</v>
      </c>
      <c r="B66" s="9">
        <v>286.29411764705884</v>
      </c>
      <c r="C66" s="9">
        <v>9.0</v>
      </c>
      <c r="D66" s="9">
        <v>9.0</v>
      </c>
      <c r="E66" s="9">
        <v>0.5486941176470588</v>
      </c>
      <c r="F66" s="9">
        <v>0.7374970588235294</v>
      </c>
      <c r="G66" s="9">
        <v>0.6165852941176471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</cols>
  <sheetData>
    <row r="1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3</v>
      </c>
      <c r="J1" s="1" t="s">
        <v>4</v>
      </c>
      <c r="K1" s="1" t="s">
        <v>5</v>
      </c>
      <c r="L1" s="1" t="s">
        <v>14</v>
      </c>
    </row>
    <row r="2">
      <c r="A2" s="1" t="s">
        <v>15</v>
      </c>
      <c r="B2" s="1" t="s">
        <v>67</v>
      </c>
      <c r="C2" s="1">
        <v>4035.0</v>
      </c>
      <c r="D2" s="1">
        <v>445.0</v>
      </c>
      <c r="E2" s="1">
        <v>668.0</v>
      </c>
      <c r="F2" s="1">
        <v>2718.0</v>
      </c>
      <c r="G2" s="1">
        <v>204.0</v>
      </c>
      <c r="H2" s="1">
        <v>0.7839</v>
      </c>
      <c r="I2" s="1">
        <v>0.3998</v>
      </c>
      <c r="J2" s="1">
        <v>0.6857</v>
      </c>
      <c r="K2" s="1">
        <v>0.5051</v>
      </c>
      <c r="L2" s="1">
        <v>0.5999</v>
      </c>
    </row>
    <row r="3">
      <c r="A3" s="1" t="s">
        <v>17</v>
      </c>
      <c r="B3" s="1" t="s">
        <v>67</v>
      </c>
      <c r="C3" s="1">
        <v>654.0</v>
      </c>
      <c r="D3" s="1">
        <v>83.3333</v>
      </c>
      <c r="E3" s="1">
        <v>113.3333</v>
      </c>
      <c r="F3" s="1">
        <v>430.6667</v>
      </c>
      <c r="G3" s="1">
        <v>26.6667</v>
      </c>
      <c r="H3" s="1">
        <v>0.7859</v>
      </c>
      <c r="I3" s="1">
        <v>0.4238</v>
      </c>
      <c r="J3" s="1">
        <v>0.7576</v>
      </c>
      <c r="K3" s="1">
        <v>0.5435</v>
      </c>
      <c r="L3" s="1">
        <v>0.6545</v>
      </c>
    </row>
    <row r="4">
      <c r="A4" s="1" t="s">
        <v>18</v>
      </c>
      <c r="B4" s="1" t="s">
        <v>67</v>
      </c>
      <c r="C4" s="1">
        <v>178.0</v>
      </c>
      <c r="D4" s="1">
        <v>23.3333</v>
      </c>
      <c r="E4" s="1">
        <v>27.0</v>
      </c>
      <c r="F4" s="1">
        <v>122.0</v>
      </c>
      <c r="G4" s="1">
        <v>5.6667</v>
      </c>
      <c r="H4" s="1">
        <v>0.8165</v>
      </c>
      <c r="I4" s="1">
        <v>0.4636</v>
      </c>
      <c r="J4" s="1">
        <v>0.8046</v>
      </c>
      <c r="K4" s="1">
        <v>0.5882</v>
      </c>
      <c r="L4" s="1">
        <v>0.7013</v>
      </c>
    </row>
    <row r="5">
      <c r="A5" s="1" t="s">
        <v>15</v>
      </c>
      <c r="B5" s="1" t="s">
        <v>68</v>
      </c>
      <c r="C5" s="1">
        <v>4035.0</v>
      </c>
      <c r="D5" s="1">
        <v>488.0</v>
      </c>
      <c r="E5" s="1">
        <v>856.0</v>
      </c>
      <c r="F5" s="1">
        <v>2530.0</v>
      </c>
      <c r="G5" s="1">
        <v>161.0</v>
      </c>
      <c r="H5" s="1">
        <v>0.748</v>
      </c>
      <c r="I5" s="1">
        <v>0.3631</v>
      </c>
      <c r="J5" s="1">
        <v>0.7519</v>
      </c>
      <c r="K5" s="1">
        <v>0.4897</v>
      </c>
      <c r="L5" s="1">
        <v>0.6193</v>
      </c>
    </row>
    <row r="6">
      <c r="A6" s="1" t="s">
        <v>17</v>
      </c>
      <c r="B6" s="1" t="s">
        <v>68</v>
      </c>
      <c r="C6" s="1">
        <v>654.0</v>
      </c>
      <c r="D6" s="1">
        <v>84.3333</v>
      </c>
      <c r="E6" s="1">
        <v>167.3333</v>
      </c>
      <c r="F6" s="1">
        <v>376.6667</v>
      </c>
      <c r="G6" s="1">
        <v>25.6667</v>
      </c>
      <c r="H6" s="1">
        <v>0.7049</v>
      </c>
      <c r="I6" s="1">
        <v>0.3351</v>
      </c>
      <c r="J6" s="1">
        <v>0.7667</v>
      </c>
      <c r="K6" s="1">
        <v>0.4664</v>
      </c>
      <c r="L6" s="1">
        <v>0.6096</v>
      </c>
    </row>
    <row r="7">
      <c r="A7" s="1" t="s">
        <v>18</v>
      </c>
      <c r="B7" s="1" t="s">
        <v>68</v>
      </c>
      <c r="C7" s="1">
        <v>178.0</v>
      </c>
      <c r="D7" s="1">
        <v>21.0</v>
      </c>
      <c r="E7" s="1">
        <v>51.3333</v>
      </c>
      <c r="F7" s="1">
        <v>97.6667</v>
      </c>
      <c r="G7" s="1">
        <v>8.0</v>
      </c>
      <c r="H7" s="1">
        <v>0.6667</v>
      </c>
      <c r="I7" s="1">
        <v>0.2903</v>
      </c>
      <c r="J7" s="1">
        <v>0.7241</v>
      </c>
      <c r="K7" s="1">
        <v>0.4145</v>
      </c>
      <c r="L7" s="1">
        <v>0.5575</v>
      </c>
    </row>
    <row r="8">
      <c r="A8" s="1" t="s">
        <v>15</v>
      </c>
      <c r="B8" s="1" t="s">
        <v>69</v>
      </c>
      <c r="C8" s="1">
        <v>4035.0</v>
      </c>
      <c r="D8" s="1">
        <v>475.0</v>
      </c>
      <c r="E8" s="1">
        <v>803.6667</v>
      </c>
      <c r="F8" s="1">
        <v>2582.3333</v>
      </c>
      <c r="G8" s="1">
        <v>174.0</v>
      </c>
      <c r="H8" s="1">
        <v>0.7577</v>
      </c>
      <c r="I8" s="1">
        <v>0.3715</v>
      </c>
      <c r="J8" s="1">
        <v>0.7319</v>
      </c>
      <c r="K8" s="1">
        <v>0.4928</v>
      </c>
      <c r="L8" s="1">
        <v>0.613</v>
      </c>
    </row>
    <row r="9">
      <c r="A9" s="1" t="s">
        <v>17</v>
      </c>
      <c r="B9" s="1" t="s">
        <v>69</v>
      </c>
      <c r="C9" s="1">
        <v>654.0</v>
      </c>
      <c r="D9" s="1">
        <v>85.3333</v>
      </c>
      <c r="E9" s="1">
        <v>130.0</v>
      </c>
      <c r="F9" s="1">
        <v>414.0</v>
      </c>
      <c r="G9" s="1">
        <v>24.6667</v>
      </c>
      <c r="H9" s="1">
        <v>0.7635</v>
      </c>
      <c r="I9" s="1">
        <v>0.3963</v>
      </c>
      <c r="J9" s="1">
        <v>0.7758</v>
      </c>
      <c r="K9" s="1">
        <v>0.5246</v>
      </c>
      <c r="L9" s="1">
        <v>0.6511</v>
      </c>
    </row>
    <row r="10">
      <c r="A10" s="1" t="s">
        <v>18</v>
      </c>
      <c r="B10" s="1" t="s">
        <v>69</v>
      </c>
      <c r="C10" s="1">
        <v>178.0</v>
      </c>
      <c r="D10" s="1">
        <v>24.0</v>
      </c>
      <c r="E10" s="1">
        <v>30.6667</v>
      </c>
      <c r="F10" s="1">
        <v>118.3333</v>
      </c>
      <c r="G10" s="1">
        <v>5.0</v>
      </c>
      <c r="H10" s="1">
        <v>0.7996</v>
      </c>
      <c r="I10" s="1">
        <v>0.4391</v>
      </c>
      <c r="J10" s="1">
        <v>0.8276</v>
      </c>
      <c r="K10" s="1">
        <v>0.5737</v>
      </c>
      <c r="L10" s="1">
        <v>0.7031</v>
      </c>
    </row>
    <row r="11">
      <c r="A11" s="1" t="s">
        <v>15</v>
      </c>
      <c r="B11" s="1" t="s">
        <v>70</v>
      </c>
      <c r="C11" s="1">
        <v>4035.0</v>
      </c>
      <c r="D11" s="1">
        <v>464.3333</v>
      </c>
      <c r="E11" s="1">
        <v>737.0</v>
      </c>
      <c r="F11" s="1">
        <v>2649.0</v>
      </c>
      <c r="G11" s="1">
        <v>184.6667</v>
      </c>
      <c r="H11" s="1">
        <v>0.7716</v>
      </c>
      <c r="I11" s="1">
        <v>0.3865</v>
      </c>
      <c r="J11" s="1">
        <v>0.7155</v>
      </c>
      <c r="K11" s="1">
        <v>0.5019</v>
      </c>
      <c r="L11" s="1">
        <v>0.6114</v>
      </c>
    </row>
    <row r="12">
      <c r="A12" s="1" t="s">
        <v>17</v>
      </c>
      <c r="B12" s="1" t="s">
        <v>70</v>
      </c>
      <c r="C12" s="1">
        <v>654.0</v>
      </c>
      <c r="D12" s="1">
        <v>86.0</v>
      </c>
      <c r="E12" s="1">
        <v>121.0</v>
      </c>
      <c r="F12" s="1">
        <v>423.0</v>
      </c>
      <c r="G12" s="1">
        <v>24.0</v>
      </c>
      <c r="H12" s="1">
        <v>0.7783</v>
      </c>
      <c r="I12" s="1">
        <v>0.4155</v>
      </c>
      <c r="J12" s="1">
        <v>0.7818</v>
      </c>
      <c r="K12" s="1">
        <v>0.5426</v>
      </c>
      <c r="L12" s="1">
        <v>0.6646</v>
      </c>
    </row>
    <row r="13">
      <c r="A13" s="1" t="s">
        <v>18</v>
      </c>
      <c r="B13" s="1" t="s">
        <v>70</v>
      </c>
      <c r="C13" s="1">
        <v>178.0</v>
      </c>
      <c r="D13" s="1">
        <v>24.0</v>
      </c>
      <c r="E13" s="1">
        <v>27.0</v>
      </c>
      <c r="F13" s="1">
        <v>122.0</v>
      </c>
      <c r="G13" s="1">
        <v>5.0</v>
      </c>
      <c r="H13" s="1">
        <v>0.8202</v>
      </c>
      <c r="I13" s="1">
        <v>0.4707</v>
      </c>
      <c r="J13" s="1">
        <v>0.8276</v>
      </c>
      <c r="K13" s="1">
        <v>0.6001</v>
      </c>
      <c r="L13" s="1">
        <v>0.7186</v>
      </c>
    </row>
    <row r="14">
      <c r="A14" s="1" t="s">
        <v>15</v>
      </c>
      <c r="B14" s="1" t="s">
        <v>71</v>
      </c>
      <c r="C14" s="1">
        <v>4035.0</v>
      </c>
      <c r="D14" s="1">
        <v>508.0</v>
      </c>
      <c r="E14" s="1">
        <v>983.3333</v>
      </c>
      <c r="F14" s="1">
        <v>2402.6667</v>
      </c>
      <c r="G14" s="1">
        <v>141.0</v>
      </c>
      <c r="H14" s="1">
        <v>0.7214</v>
      </c>
      <c r="I14" s="1">
        <v>0.3406</v>
      </c>
      <c r="J14" s="1">
        <v>0.7827</v>
      </c>
      <c r="K14" s="1">
        <v>0.4747</v>
      </c>
      <c r="L14" s="1">
        <v>0.6214</v>
      </c>
    </row>
    <row r="15">
      <c r="A15" s="1" t="s">
        <v>17</v>
      </c>
      <c r="B15" s="1" t="s">
        <v>71</v>
      </c>
      <c r="C15" s="1">
        <v>654.0</v>
      </c>
      <c r="D15" s="1">
        <v>85.0</v>
      </c>
      <c r="E15" s="1">
        <v>160.6667</v>
      </c>
      <c r="F15" s="1">
        <v>383.3333</v>
      </c>
      <c r="G15" s="1">
        <v>25.0</v>
      </c>
      <c r="H15" s="1">
        <v>0.7161</v>
      </c>
      <c r="I15" s="1">
        <v>0.346</v>
      </c>
      <c r="J15" s="1">
        <v>0.7727</v>
      </c>
      <c r="K15" s="1">
        <v>0.478</v>
      </c>
      <c r="L15" s="1">
        <v>0.6198</v>
      </c>
    </row>
    <row r="16">
      <c r="A16" s="1" t="s">
        <v>18</v>
      </c>
      <c r="B16" s="1" t="s">
        <v>71</v>
      </c>
      <c r="C16" s="1">
        <v>178.0</v>
      </c>
      <c r="D16" s="1">
        <v>20.0</v>
      </c>
      <c r="E16" s="1">
        <v>39.6667</v>
      </c>
      <c r="F16" s="1">
        <v>109.3333</v>
      </c>
      <c r="G16" s="1">
        <v>9.0</v>
      </c>
      <c r="H16" s="1">
        <v>0.7266</v>
      </c>
      <c r="I16" s="1">
        <v>0.3355</v>
      </c>
      <c r="J16" s="1">
        <v>0.6897</v>
      </c>
      <c r="K16" s="1">
        <v>0.4513</v>
      </c>
      <c r="L16" s="1">
        <v>0.5693</v>
      </c>
    </row>
    <row r="17">
      <c r="A17" s="1" t="s">
        <v>15</v>
      </c>
      <c r="B17" s="1" t="s">
        <v>72</v>
      </c>
      <c r="C17" s="1">
        <v>4035.0</v>
      </c>
      <c r="D17" s="1">
        <v>501.3333</v>
      </c>
      <c r="E17" s="1">
        <v>952.3333</v>
      </c>
      <c r="F17" s="1">
        <v>2433.6667</v>
      </c>
      <c r="G17" s="1">
        <v>147.6667</v>
      </c>
      <c r="H17" s="1">
        <v>0.7274</v>
      </c>
      <c r="I17" s="1">
        <v>0.3449</v>
      </c>
      <c r="J17" s="1">
        <v>0.7725</v>
      </c>
      <c r="K17" s="1">
        <v>0.4769</v>
      </c>
      <c r="L17" s="1">
        <v>0.619</v>
      </c>
    </row>
    <row r="18">
      <c r="A18" s="1" t="s">
        <v>17</v>
      </c>
      <c r="B18" s="1" t="s">
        <v>72</v>
      </c>
      <c r="C18" s="1">
        <v>654.0</v>
      </c>
      <c r="D18" s="1">
        <v>83.0</v>
      </c>
      <c r="E18" s="1">
        <v>154.0</v>
      </c>
      <c r="F18" s="1">
        <v>390.0</v>
      </c>
      <c r="G18" s="1">
        <v>27.0</v>
      </c>
      <c r="H18" s="1">
        <v>0.7232</v>
      </c>
      <c r="I18" s="1">
        <v>0.3502</v>
      </c>
      <c r="J18" s="1">
        <v>0.7545</v>
      </c>
      <c r="K18" s="1">
        <v>0.4784</v>
      </c>
      <c r="L18" s="1">
        <v>0.613</v>
      </c>
    </row>
    <row r="19">
      <c r="A19" s="1" t="s">
        <v>18</v>
      </c>
      <c r="B19" s="1" t="s">
        <v>72</v>
      </c>
      <c r="C19" s="1">
        <v>178.0</v>
      </c>
      <c r="D19" s="1">
        <v>20.3333</v>
      </c>
      <c r="E19" s="1">
        <v>39.3333</v>
      </c>
      <c r="F19" s="1">
        <v>109.6667</v>
      </c>
      <c r="G19" s="1">
        <v>8.6667</v>
      </c>
      <c r="H19" s="1">
        <v>0.7303</v>
      </c>
      <c r="I19" s="1">
        <v>0.3408</v>
      </c>
      <c r="J19" s="1">
        <v>0.7011</v>
      </c>
      <c r="K19" s="1">
        <v>0.4586</v>
      </c>
      <c r="L19" s="1">
        <v>0.5787</v>
      </c>
    </row>
    <row r="20">
      <c r="A20" s="1" t="s">
        <v>15</v>
      </c>
      <c r="B20" s="1" t="s">
        <v>73</v>
      </c>
      <c r="C20" s="1">
        <v>4035.0</v>
      </c>
      <c r="D20" s="1">
        <v>464.6667</v>
      </c>
      <c r="E20" s="1">
        <v>748.3333</v>
      </c>
      <c r="F20" s="1">
        <v>2637.6667</v>
      </c>
      <c r="G20" s="1">
        <v>184.3333</v>
      </c>
      <c r="H20" s="1">
        <v>0.7689</v>
      </c>
      <c r="I20" s="1">
        <v>0.3831</v>
      </c>
      <c r="J20" s="1">
        <v>0.716</v>
      </c>
      <c r="K20" s="1">
        <v>0.4991</v>
      </c>
      <c r="L20" s="1">
        <v>0.61</v>
      </c>
    </row>
    <row r="21">
      <c r="A21" s="1" t="s">
        <v>17</v>
      </c>
      <c r="B21" s="1" t="s">
        <v>73</v>
      </c>
      <c r="C21" s="1">
        <v>654.0</v>
      </c>
      <c r="D21" s="1">
        <v>84.6667</v>
      </c>
      <c r="E21" s="1">
        <v>118.3333</v>
      </c>
      <c r="F21" s="1">
        <v>425.6667</v>
      </c>
      <c r="G21" s="1">
        <v>25.3333</v>
      </c>
      <c r="H21" s="1">
        <v>0.7803</v>
      </c>
      <c r="I21" s="1">
        <v>0.4171</v>
      </c>
      <c r="J21" s="1">
        <v>0.7697</v>
      </c>
      <c r="K21" s="1">
        <v>0.541</v>
      </c>
      <c r="L21" s="1">
        <v>0.6584</v>
      </c>
    </row>
    <row r="22">
      <c r="A22" s="1" t="s">
        <v>18</v>
      </c>
      <c r="B22" s="1" t="s">
        <v>73</v>
      </c>
      <c r="C22" s="1">
        <v>178.0</v>
      </c>
      <c r="D22" s="1">
        <v>23.3333</v>
      </c>
      <c r="E22" s="1">
        <v>30.3333</v>
      </c>
      <c r="F22" s="1">
        <v>118.6667</v>
      </c>
      <c r="G22" s="1">
        <v>5.6667</v>
      </c>
      <c r="H22" s="1">
        <v>0.7978</v>
      </c>
      <c r="I22" s="1">
        <v>0.4348</v>
      </c>
      <c r="J22" s="1">
        <v>0.8046</v>
      </c>
      <c r="K22" s="1">
        <v>0.5645</v>
      </c>
      <c r="L22" s="1">
        <v>0.6876</v>
      </c>
    </row>
    <row r="23">
      <c r="A23" s="1" t="s">
        <v>15</v>
      </c>
      <c r="B23" s="1" t="s">
        <v>74</v>
      </c>
      <c r="C23" s="1">
        <v>4035.0</v>
      </c>
      <c r="D23" s="1">
        <v>434.3333</v>
      </c>
      <c r="E23" s="1">
        <v>634.6667</v>
      </c>
      <c r="F23" s="1">
        <v>2751.3333</v>
      </c>
      <c r="G23" s="1">
        <v>214.6667</v>
      </c>
      <c r="H23" s="1">
        <v>0.7895</v>
      </c>
      <c r="I23" s="1">
        <v>0.4063</v>
      </c>
      <c r="J23" s="1">
        <v>0.6692</v>
      </c>
      <c r="K23" s="1">
        <v>0.5056</v>
      </c>
      <c r="L23" s="1">
        <v>0.5925</v>
      </c>
    </row>
    <row r="24">
      <c r="A24" s="1" t="s">
        <v>17</v>
      </c>
      <c r="B24" s="1" t="s">
        <v>74</v>
      </c>
      <c r="C24" s="1">
        <v>654.0</v>
      </c>
      <c r="D24" s="1">
        <v>83.3333</v>
      </c>
      <c r="E24" s="1">
        <v>104.0</v>
      </c>
      <c r="F24" s="1">
        <v>440.0</v>
      </c>
      <c r="G24" s="1">
        <v>26.6667</v>
      </c>
      <c r="H24" s="1">
        <v>0.8002</v>
      </c>
      <c r="I24" s="1">
        <v>0.4448</v>
      </c>
      <c r="J24" s="1">
        <v>0.7576</v>
      </c>
      <c r="K24" s="1">
        <v>0.5605</v>
      </c>
      <c r="L24" s="1">
        <v>0.6642</v>
      </c>
    </row>
    <row r="25">
      <c r="A25" s="1" t="s">
        <v>18</v>
      </c>
      <c r="B25" s="1" t="s">
        <v>74</v>
      </c>
      <c r="C25" s="1">
        <v>178.0</v>
      </c>
      <c r="D25" s="1">
        <v>23.0</v>
      </c>
      <c r="E25" s="1">
        <v>26.3333</v>
      </c>
      <c r="F25" s="1">
        <v>122.6667</v>
      </c>
      <c r="G25" s="1">
        <v>6.0</v>
      </c>
      <c r="H25" s="1">
        <v>0.8184</v>
      </c>
      <c r="I25" s="1">
        <v>0.4663</v>
      </c>
      <c r="J25" s="1">
        <v>0.7931</v>
      </c>
      <c r="K25" s="1">
        <v>0.5873</v>
      </c>
      <c r="L25" s="1">
        <v>0.6956</v>
      </c>
    </row>
    <row r="26">
      <c r="A26" s="1" t="s">
        <v>15</v>
      </c>
      <c r="B26" s="1" t="s">
        <v>75</v>
      </c>
      <c r="C26" s="1">
        <v>4035.0</v>
      </c>
      <c r="D26" s="1">
        <v>510.6667</v>
      </c>
      <c r="E26" s="1">
        <v>1069.6667</v>
      </c>
      <c r="F26" s="1">
        <v>2316.3333</v>
      </c>
      <c r="G26" s="1">
        <v>138.3333</v>
      </c>
      <c r="H26" s="1">
        <v>0.7006</v>
      </c>
      <c r="I26" s="1">
        <v>0.3231</v>
      </c>
      <c r="J26" s="1">
        <v>0.7869</v>
      </c>
      <c r="K26" s="1">
        <v>0.4581</v>
      </c>
      <c r="L26" s="1">
        <v>0.6114</v>
      </c>
    </row>
    <row r="27">
      <c r="A27" s="1" t="s">
        <v>17</v>
      </c>
      <c r="B27" s="1" t="s">
        <v>75</v>
      </c>
      <c r="C27" s="1">
        <v>654.0</v>
      </c>
      <c r="D27" s="1">
        <v>86.6667</v>
      </c>
      <c r="E27" s="1">
        <v>173.6667</v>
      </c>
      <c r="F27" s="1">
        <v>370.3333</v>
      </c>
      <c r="G27" s="1">
        <v>23.3333</v>
      </c>
      <c r="H27" s="1">
        <v>0.6988</v>
      </c>
      <c r="I27" s="1">
        <v>0.3329</v>
      </c>
      <c r="J27" s="1">
        <v>0.7879</v>
      </c>
      <c r="K27" s="1">
        <v>0.4681</v>
      </c>
      <c r="L27" s="1">
        <v>0.6188</v>
      </c>
    </row>
    <row r="28">
      <c r="A28" s="1" t="s">
        <v>18</v>
      </c>
      <c r="B28" s="1" t="s">
        <v>75</v>
      </c>
      <c r="C28" s="1">
        <v>178.0</v>
      </c>
      <c r="D28" s="1">
        <v>21.6667</v>
      </c>
      <c r="E28" s="1">
        <v>45.3333</v>
      </c>
      <c r="F28" s="1">
        <v>103.6667</v>
      </c>
      <c r="G28" s="1">
        <v>7.3333</v>
      </c>
      <c r="H28" s="1">
        <v>0.7041</v>
      </c>
      <c r="I28" s="1">
        <v>0.3234</v>
      </c>
      <c r="J28" s="1">
        <v>0.7471</v>
      </c>
      <c r="K28" s="1">
        <v>0.4514</v>
      </c>
      <c r="L28" s="1">
        <v>0.592</v>
      </c>
    </row>
    <row r="29">
      <c r="A29" s="1" t="s">
        <v>15</v>
      </c>
      <c r="B29" s="1" t="s">
        <v>76</v>
      </c>
      <c r="C29" s="1">
        <v>4035.0</v>
      </c>
      <c r="D29" s="1">
        <v>402.6667</v>
      </c>
      <c r="E29" s="1">
        <v>679.3333</v>
      </c>
      <c r="F29" s="1">
        <v>2706.6667</v>
      </c>
      <c r="G29" s="1">
        <v>246.3333</v>
      </c>
      <c r="H29" s="1">
        <v>0.7706</v>
      </c>
      <c r="I29" s="1">
        <v>0.3722</v>
      </c>
      <c r="J29" s="1">
        <v>0.6204</v>
      </c>
      <c r="K29" s="1">
        <v>0.4652</v>
      </c>
      <c r="L29" s="1">
        <v>0.5474</v>
      </c>
    </row>
    <row r="30">
      <c r="A30" s="1" t="s">
        <v>17</v>
      </c>
      <c r="B30" s="1" t="s">
        <v>76</v>
      </c>
      <c r="C30" s="1">
        <v>654.0</v>
      </c>
      <c r="D30" s="1">
        <v>72.6667</v>
      </c>
      <c r="E30" s="1">
        <v>106.0</v>
      </c>
      <c r="F30" s="1">
        <v>438.0</v>
      </c>
      <c r="G30" s="1">
        <v>37.3333</v>
      </c>
      <c r="H30" s="1">
        <v>0.7808</v>
      </c>
      <c r="I30" s="1">
        <v>0.4067</v>
      </c>
      <c r="J30" s="1">
        <v>0.6606</v>
      </c>
      <c r="K30" s="1">
        <v>0.5035</v>
      </c>
      <c r="L30" s="1">
        <v>0.5873</v>
      </c>
    </row>
    <row r="31">
      <c r="A31" s="1" t="s">
        <v>18</v>
      </c>
      <c r="B31" s="1" t="s">
        <v>76</v>
      </c>
      <c r="C31" s="1">
        <v>178.0</v>
      </c>
      <c r="D31" s="1">
        <v>19.0</v>
      </c>
      <c r="E31" s="1">
        <v>25.6667</v>
      </c>
      <c r="F31" s="1">
        <v>123.3333</v>
      </c>
      <c r="G31" s="1">
        <v>10.0</v>
      </c>
      <c r="H31" s="1">
        <v>0.7996</v>
      </c>
      <c r="I31" s="1">
        <v>0.4256</v>
      </c>
      <c r="J31" s="1">
        <v>0.6552</v>
      </c>
      <c r="K31" s="1">
        <v>0.5159</v>
      </c>
      <c r="L31" s="1">
        <v>0.5913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</cols>
  <sheetData>
    <row r="1">
      <c r="A1" s="1" t="s">
        <v>40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3</v>
      </c>
      <c r="J1" s="1" t="s">
        <v>4</v>
      </c>
      <c r="K1" s="1" t="s">
        <v>5</v>
      </c>
      <c r="L1" s="1" t="s">
        <v>14</v>
      </c>
    </row>
    <row r="2">
      <c r="A2" s="1" t="s">
        <v>42</v>
      </c>
      <c r="B2" s="1" t="s">
        <v>67</v>
      </c>
      <c r="C2" s="1">
        <v>16.0</v>
      </c>
      <c r="D2" s="1">
        <v>4.0</v>
      </c>
      <c r="E2" s="1">
        <v>4.0</v>
      </c>
      <c r="F2" s="1">
        <v>6.0</v>
      </c>
      <c r="G2" s="1">
        <v>2.0</v>
      </c>
      <c r="H2" s="1">
        <v>0.625</v>
      </c>
      <c r="I2" s="1">
        <v>0.5</v>
      </c>
      <c r="J2" s="1">
        <v>0.6667</v>
      </c>
      <c r="K2" s="1">
        <v>0.5714</v>
      </c>
      <c r="L2" s="1">
        <v>0.625</v>
      </c>
    </row>
    <row r="3">
      <c r="A3" s="1" t="s">
        <v>53</v>
      </c>
      <c r="B3" s="1" t="s">
        <v>67</v>
      </c>
      <c r="C3" s="1">
        <v>897.0</v>
      </c>
      <c r="D3" s="1">
        <v>128.0</v>
      </c>
      <c r="E3" s="1">
        <v>172.0</v>
      </c>
      <c r="F3" s="1">
        <v>557.0</v>
      </c>
      <c r="G3" s="1">
        <v>40.0</v>
      </c>
      <c r="H3" s="1">
        <v>0.7637</v>
      </c>
      <c r="I3" s="1">
        <v>0.4267</v>
      </c>
      <c r="J3" s="1">
        <v>0.7619</v>
      </c>
      <c r="K3" s="1">
        <v>0.547</v>
      </c>
      <c r="L3" s="1">
        <v>0.6584</v>
      </c>
    </row>
    <row r="4">
      <c r="A4" s="1" t="s">
        <v>47</v>
      </c>
      <c r="B4" s="1" t="s">
        <v>67</v>
      </c>
      <c r="C4" s="1">
        <v>274.0</v>
      </c>
      <c r="D4" s="1">
        <v>30.0</v>
      </c>
      <c r="E4" s="1">
        <v>33.0</v>
      </c>
      <c r="F4" s="1">
        <v>191.0</v>
      </c>
      <c r="G4" s="1">
        <v>20.0</v>
      </c>
      <c r="H4" s="1">
        <v>0.8066</v>
      </c>
      <c r="I4" s="1">
        <v>0.4762</v>
      </c>
      <c r="J4" s="1">
        <v>0.6</v>
      </c>
      <c r="K4" s="1">
        <v>0.531</v>
      </c>
      <c r="L4" s="1">
        <v>0.5703</v>
      </c>
    </row>
    <row r="5">
      <c r="A5" s="1" t="s">
        <v>48</v>
      </c>
      <c r="B5" s="1" t="s">
        <v>67</v>
      </c>
      <c r="C5" s="1">
        <v>26.0</v>
      </c>
      <c r="D5" s="1">
        <v>3.0</v>
      </c>
      <c r="E5" s="1">
        <v>4.0</v>
      </c>
      <c r="F5" s="1">
        <v>17.0</v>
      </c>
      <c r="G5" s="1">
        <v>2.0</v>
      </c>
      <c r="H5" s="1">
        <v>0.7692</v>
      </c>
      <c r="I5" s="1">
        <v>0.4286</v>
      </c>
      <c r="J5" s="1">
        <v>0.6</v>
      </c>
      <c r="K5" s="1">
        <v>0.5</v>
      </c>
      <c r="L5" s="1">
        <v>0.5556</v>
      </c>
    </row>
    <row r="6">
      <c r="A6" s="1" t="s">
        <v>55</v>
      </c>
      <c r="B6" s="1" t="s">
        <v>67</v>
      </c>
      <c r="C6" s="1">
        <v>469.0</v>
      </c>
      <c r="D6" s="1">
        <v>33.0</v>
      </c>
      <c r="E6" s="1">
        <v>89.0</v>
      </c>
      <c r="F6" s="1">
        <v>336.0</v>
      </c>
      <c r="G6" s="1">
        <v>11.0</v>
      </c>
      <c r="H6" s="1">
        <v>0.7868</v>
      </c>
      <c r="I6" s="1">
        <v>0.2705</v>
      </c>
      <c r="J6" s="1">
        <v>0.75</v>
      </c>
      <c r="K6" s="1">
        <v>0.3976</v>
      </c>
      <c r="L6" s="1">
        <v>0.5537</v>
      </c>
    </row>
    <row r="7">
      <c r="A7" s="1" t="s">
        <v>50</v>
      </c>
      <c r="B7" s="1" t="s">
        <v>67</v>
      </c>
      <c r="C7" s="1">
        <v>679.0</v>
      </c>
      <c r="D7" s="1">
        <v>68.0</v>
      </c>
      <c r="E7" s="1">
        <v>110.0</v>
      </c>
      <c r="F7" s="1">
        <v>476.0</v>
      </c>
      <c r="G7" s="1">
        <v>25.0</v>
      </c>
      <c r="H7" s="1">
        <v>0.8012</v>
      </c>
      <c r="I7" s="1">
        <v>0.382</v>
      </c>
      <c r="J7" s="1">
        <v>0.7312</v>
      </c>
      <c r="K7" s="1">
        <v>0.5018</v>
      </c>
      <c r="L7" s="1">
        <v>0.6182</v>
      </c>
    </row>
    <row r="8">
      <c r="A8" s="1" t="s">
        <v>45</v>
      </c>
      <c r="B8" s="1" t="s">
        <v>67</v>
      </c>
      <c r="C8" s="1">
        <v>49.0</v>
      </c>
      <c r="D8" s="1">
        <v>7.0</v>
      </c>
      <c r="E8" s="1">
        <v>7.0</v>
      </c>
      <c r="F8" s="1">
        <v>31.0</v>
      </c>
      <c r="G8" s="1">
        <v>4.0</v>
      </c>
      <c r="H8" s="1">
        <v>0.7755</v>
      </c>
      <c r="I8" s="1">
        <v>0.5</v>
      </c>
      <c r="J8" s="1">
        <v>0.6364</v>
      </c>
      <c r="K8" s="1">
        <v>0.56</v>
      </c>
      <c r="L8" s="1">
        <v>0.6034</v>
      </c>
    </row>
    <row r="9">
      <c r="A9" s="1" t="s">
        <v>51</v>
      </c>
      <c r="B9" s="1" t="s">
        <v>67</v>
      </c>
      <c r="C9" s="1">
        <v>662.0</v>
      </c>
      <c r="D9" s="1">
        <v>89.0</v>
      </c>
      <c r="E9" s="1">
        <v>129.0</v>
      </c>
      <c r="F9" s="1">
        <v>402.0</v>
      </c>
      <c r="G9" s="1">
        <v>42.0</v>
      </c>
      <c r="H9" s="1">
        <v>0.7417</v>
      </c>
      <c r="I9" s="1">
        <v>0.4083</v>
      </c>
      <c r="J9" s="1">
        <v>0.6794</v>
      </c>
      <c r="K9" s="1">
        <v>0.51</v>
      </c>
      <c r="L9" s="1">
        <v>0.5997</v>
      </c>
    </row>
    <row r="10">
      <c r="A10" s="1" t="s">
        <v>46</v>
      </c>
      <c r="B10" s="1" t="s">
        <v>67</v>
      </c>
      <c r="C10" s="1">
        <v>89.0</v>
      </c>
      <c r="D10" s="1">
        <v>5.0</v>
      </c>
      <c r="E10" s="1">
        <v>8.0</v>
      </c>
      <c r="F10" s="1">
        <v>76.0</v>
      </c>
      <c r="G10" s="1">
        <v>0.0</v>
      </c>
      <c r="H10" s="1">
        <v>0.9101</v>
      </c>
      <c r="I10" s="1">
        <v>0.3846</v>
      </c>
      <c r="J10" s="1">
        <v>1.0</v>
      </c>
      <c r="K10" s="1">
        <v>0.5556</v>
      </c>
      <c r="L10" s="1">
        <v>0.7576</v>
      </c>
    </row>
    <row r="11">
      <c r="A11" s="1" t="s">
        <v>58</v>
      </c>
      <c r="B11" s="1" t="s">
        <v>67</v>
      </c>
      <c r="C11" s="1">
        <v>55.0</v>
      </c>
      <c r="D11" s="1">
        <v>3.0</v>
      </c>
      <c r="E11" s="1">
        <v>11.0</v>
      </c>
      <c r="F11" s="1">
        <v>40.0</v>
      </c>
      <c r="G11" s="1">
        <v>1.0</v>
      </c>
      <c r="H11" s="1">
        <v>0.7818</v>
      </c>
      <c r="I11" s="1">
        <v>0.2143</v>
      </c>
      <c r="J11" s="1">
        <v>0.75</v>
      </c>
      <c r="K11" s="1">
        <v>0.3333</v>
      </c>
      <c r="L11" s="1">
        <v>0.5</v>
      </c>
    </row>
    <row r="12">
      <c r="A12" s="1" t="s">
        <v>77</v>
      </c>
      <c r="B12" s="1" t="s">
        <v>67</v>
      </c>
      <c r="C12" s="1">
        <v>62.0</v>
      </c>
      <c r="D12" s="1">
        <v>9.0</v>
      </c>
      <c r="E12" s="1">
        <v>14.0</v>
      </c>
      <c r="F12" s="1">
        <v>35.0</v>
      </c>
      <c r="G12" s="1">
        <v>4.0</v>
      </c>
      <c r="H12" s="1">
        <v>0.7097</v>
      </c>
      <c r="I12" s="1">
        <v>0.3913</v>
      </c>
      <c r="J12" s="1">
        <v>0.6923</v>
      </c>
      <c r="K12" s="1">
        <v>0.5</v>
      </c>
      <c r="L12" s="1">
        <v>0.6</v>
      </c>
    </row>
    <row r="13">
      <c r="A13" s="1" t="s">
        <v>43</v>
      </c>
      <c r="B13" s="1" t="s">
        <v>67</v>
      </c>
      <c r="C13" s="1">
        <v>194.0</v>
      </c>
      <c r="D13" s="1">
        <v>35.0</v>
      </c>
      <c r="E13" s="1">
        <v>31.0</v>
      </c>
      <c r="F13" s="1">
        <v>117.0</v>
      </c>
      <c r="G13" s="1">
        <v>11.0</v>
      </c>
      <c r="H13" s="1">
        <v>0.7835</v>
      </c>
      <c r="I13" s="1">
        <v>0.5303</v>
      </c>
      <c r="J13" s="1">
        <v>0.7609</v>
      </c>
      <c r="K13" s="1">
        <v>0.625</v>
      </c>
      <c r="L13" s="1">
        <v>0.7</v>
      </c>
    </row>
    <row r="14">
      <c r="A14" s="1" t="s">
        <v>54</v>
      </c>
      <c r="B14" s="1" t="s">
        <v>67</v>
      </c>
      <c r="C14" s="1">
        <v>26.0</v>
      </c>
      <c r="D14" s="1">
        <v>3.0</v>
      </c>
      <c r="E14" s="1">
        <v>5.0</v>
      </c>
      <c r="F14" s="1">
        <v>17.0</v>
      </c>
      <c r="G14" s="1">
        <v>1.0</v>
      </c>
      <c r="H14" s="1">
        <v>0.7692</v>
      </c>
      <c r="I14" s="1">
        <v>0.375</v>
      </c>
      <c r="J14" s="1">
        <v>0.75</v>
      </c>
      <c r="K14" s="1">
        <v>0.5</v>
      </c>
      <c r="L14" s="1">
        <v>0.625</v>
      </c>
    </row>
    <row r="15">
      <c r="A15" s="1" t="s">
        <v>78</v>
      </c>
      <c r="B15" s="1" t="s">
        <v>67</v>
      </c>
      <c r="C15" s="1">
        <v>23.0</v>
      </c>
      <c r="D15" s="1">
        <v>1.0</v>
      </c>
      <c r="E15" s="1">
        <v>6.0</v>
      </c>
      <c r="F15" s="1">
        <v>16.0</v>
      </c>
      <c r="G15" s="1">
        <v>0.0</v>
      </c>
      <c r="H15" s="1">
        <v>0.7391</v>
      </c>
      <c r="I15" s="1">
        <v>0.1429</v>
      </c>
      <c r="J15" s="1">
        <v>1.0</v>
      </c>
      <c r="K15" s="1">
        <v>0.25</v>
      </c>
      <c r="L15" s="1">
        <v>0.4545</v>
      </c>
    </row>
    <row r="16">
      <c r="A16" s="1" t="s">
        <v>44</v>
      </c>
      <c r="B16" s="1" t="s">
        <v>67</v>
      </c>
      <c r="C16" s="1">
        <v>65.0</v>
      </c>
      <c r="D16" s="1">
        <v>8.0</v>
      </c>
      <c r="E16" s="1">
        <v>10.0</v>
      </c>
      <c r="F16" s="1">
        <v>41.0</v>
      </c>
      <c r="G16" s="1">
        <v>6.0</v>
      </c>
      <c r="H16" s="1">
        <v>0.7538</v>
      </c>
      <c r="I16" s="1">
        <v>0.4444</v>
      </c>
      <c r="J16" s="1">
        <v>0.5714</v>
      </c>
      <c r="K16" s="1">
        <v>0.5</v>
      </c>
      <c r="L16" s="1">
        <v>0.5405</v>
      </c>
    </row>
    <row r="17">
      <c r="A17" s="1" t="s">
        <v>56</v>
      </c>
      <c r="B17" s="1" t="s">
        <v>67</v>
      </c>
      <c r="C17" s="1">
        <v>446.0</v>
      </c>
      <c r="D17" s="1">
        <v>37.0</v>
      </c>
      <c r="E17" s="1">
        <v>43.0</v>
      </c>
      <c r="F17" s="1">
        <v>355.0</v>
      </c>
      <c r="G17" s="1">
        <v>11.0</v>
      </c>
      <c r="H17" s="1">
        <v>0.8789</v>
      </c>
      <c r="I17" s="1">
        <v>0.4625</v>
      </c>
      <c r="J17" s="1">
        <v>0.7708</v>
      </c>
      <c r="K17" s="1">
        <v>0.5781</v>
      </c>
      <c r="L17" s="1">
        <v>0.6801</v>
      </c>
    </row>
    <row r="18">
      <c r="A18" s="1" t="s">
        <v>49</v>
      </c>
      <c r="B18" s="1" t="s">
        <v>67</v>
      </c>
      <c r="C18" s="1">
        <v>95.0</v>
      </c>
      <c r="D18" s="1">
        <v>10.0</v>
      </c>
      <c r="E18" s="1">
        <v>11.0</v>
      </c>
      <c r="F18" s="1">
        <v>64.0</v>
      </c>
      <c r="G18" s="1">
        <v>10.0</v>
      </c>
      <c r="H18" s="1">
        <v>0.7789</v>
      </c>
      <c r="I18" s="1">
        <v>0.4762</v>
      </c>
      <c r="J18" s="1">
        <v>0.5</v>
      </c>
      <c r="K18" s="1">
        <v>0.4878</v>
      </c>
      <c r="L18" s="1">
        <v>0.495</v>
      </c>
    </row>
    <row r="19">
      <c r="A19" s="1" t="s">
        <v>52</v>
      </c>
      <c r="B19" s="1" t="s">
        <v>67</v>
      </c>
      <c r="C19" s="1">
        <v>587.0</v>
      </c>
      <c r="D19" s="1">
        <v>64.0</v>
      </c>
      <c r="E19" s="1">
        <v>102.0</v>
      </c>
      <c r="F19" s="1">
        <v>385.0</v>
      </c>
      <c r="G19" s="1">
        <v>36.0</v>
      </c>
      <c r="H19" s="1">
        <v>0.7649</v>
      </c>
      <c r="I19" s="1">
        <v>0.3855</v>
      </c>
      <c r="J19" s="1">
        <v>0.64</v>
      </c>
      <c r="K19" s="1">
        <v>0.4812</v>
      </c>
      <c r="L19" s="1">
        <v>0.5654</v>
      </c>
    </row>
    <row r="20">
      <c r="A20" s="1" t="s">
        <v>57</v>
      </c>
      <c r="B20" s="1" t="s">
        <v>67</v>
      </c>
      <c r="C20" s="1">
        <v>153.0</v>
      </c>
      <c r="D20" s="1">
        <v>14.0</v>
      </c>
      <c r="E20" s="1">
        <v>25.0</v>
      </c>
      <c r="F20" s="1">
        <v>103.0</v>
      </c>
      <c r="G20" s="1">
        <v>11.0</v>
      </c>
      <c r="H20" s="1">
        <v>0.7647</v>
      </c>
      <c r="I20" s="1">
        <v>0.359</v>
      </c>
      <c r="J20" s="1">
        <v>0.56</v>
      </c>
      <c r="K20" s="1">
        <v>0.4375</v>
      </c>
      <c r="L20" s="1">
        <v>0.5036</v>
      </c>
    </row>
    <row r="21">
      <c r="A21" s="1" t="s">
        <v>42</v>
      </c>
      <c r="B21" s="1" t="s">
        <v>68</v>
      </c>
      <c r="C21" s="1">
        <v>16.0</v>
      </c>
      <c r="D21" s="1">
        <v>4.0</v>
      </c>
      <c r="E21" s="1">
        <v>5.0</v>
      </c>
      <c r="F21" s="1">
        <v>5.0</v>
      </c>
      <c r="G21" s="1">
        <v>2.0</v>
      </c>
      <c r="H21" s="1">
        <v>0.5625</v>
      </c>
      <c r="I21" s="1">
        <v>0.4444</v>
      </c>
      <c r="J21" s="1">
        <v>0.6667</v>
      </c>
      <c r="K21" s="1">
        <v>0.5333</v>
      </c>
      <c r="L21" s="1">
        <v>0.6061</v>
      </c>
    </row>
    <row r="22">
      <c r="A22" s="1" t="s">
        <v>53</v>
      </c>
      <c r="B22" s="1" t="s">
        <v>68</v>
      </c>
      <c r="C22" s="1">
        <v>897.0</v>
      </c>
      <c r="D22" s="1">
        <v>137.0</v>
      </c>
      <c r="E22" s="1">
        <v>218.0</v>
      </c>
      <c r="F22" s="1">
        <v>511.0</v>
      </c>
      <c r="G22" s="1">
        <v>31.0</v>
      </c>
      <c r="H22" s="1">
        <v>0.7224</v>
      </c>
      <c r="I22" s="1">
        <v>0.3859</v>
      </c>
      <c r="J22" s="1">
        <v>0.8155</v>
      </c>
      <c r="K22" s="1">
        <v>0.5239</v>
      </c>
      <c r="L22" s="1">
        <v>0.667</v>
      </c>
    </row>
    <row r="23">
      <c r="A23" s="1" t="s">
        <v>47</v>
      </c>
      <c r="B23" s="1" t="s">
        <v>68</v>
      </c>
      <c r="C23" s="1">
        <v>274.0</v>
      </c>
      <c r="D23" s="1">
        <v>32.0</v>
      </c>
      <c r="E23" s="1">
        <v>48.0</v>
      </c>
      <c r="F23" s="1">
        <v>176.0</v>
      </c>
      <c r="G23" s="1">
        <v>18.0</v>
      </c>
      <c r="H23" s="1">
        <v>0.7591</v>
      </c>
      <c r="I23" s="1">
        <v>0.4</v>
      </c>
      <c r="J23" s="1">
        <v>0.64</v>
      </c>
      <c r="K23" s="1">
        <v>0.4923</v>
      </c>
      <c r="L23" s="1">
        <v>0.5714</v>
      </c>
    </row>
    <row r="24">
      <c r="A24" s="1" t="s">
        <v>48</v>
      </c>
      <c r="B24" s="1" t="s">
        <v>68</v>
      </c>
      <c r="C24" s="1">
        <v>26.0</v>
      </c>
      <c r="D24" s="1">
        <v>4.0</v>
      </c>
      <c r="E24" s="1">
        <v>6.0</v>
      </c>
      <c r="F24" s="1">
        <v>15.0</v>
      </c>
      <c r="G24" s="1">
        <v>1.0</v>
      </c>
      <c r="H24" s="1">
        <v>0.7308</v>
      </c>
      <c r="I24" s="1">
        <v>0.4</v>
      </c>
      <c r="J24" s="1">
        <v>0.8</v>
      </c>
      <c r="K24" s="1">
        <v>0.5333</v>
      </c>
      <c r="L24" s="1">
        <v>0.6667</v>
      </c>
    </row>
    <row r="25">
      <c r="A25" s="1" t="s">
        <v>55</v>
      </c>
      <c r="B25" s="1" t="s">
        <v>68</v>
      </c>
      <c r="C25" s="1">
        <v>469.0</v>
      </c>
      <c r="D25" s="1">
        <v>40.0</v>
      </c>
      <c r="E25" s="1">
        <v>120.0</v>
      </c>
      <c r="F25" s="1">
        <v>305.0</v>
      </c>
      <c r="G25" s="1">
        <v>4.0</v>
      </c>
      <c r="H25" s="1">
        <v>0.7356</v>
      </c>
      <c r="I25" s="1">
        <v>0.25</v>
      </c>
      <c r="J25" s="1">
        <v>0.9091</v>
      </c>
      <c r="K25" s="1">
        <v>0.3922</v>
      </c>
      <c r="L25" s="1">
        <v>0.5952</v>
      </c>
    </row>
    <row r="26">
      <c r="A26" s="1" t="s">
        <v>50</v>
      </c>
      <c r="B26" s="1" t="s">
        <v>68</v>
      </c>
      <c r="C26" s="1">
        <v>679.0</v>
      </c>
      <c r="D26" s="1">
        <v>75.0</v>
      </c>
      <c r="E26" s="1">
        <v>155.0</v>
      </c>
      <c r="F26" s="1">
        <v>431.0</v>
      </c>
      <c r="G26" s="1">
        <v>18.0</v>
      </c>
      <c r="H26" s="1">
        <v>0.7452</v>
      </c>
      <c r="I26" s="1">
        <v>0.3261</v>
      </c>
      <c r="J26" s="1">
        <v>0.8065</v>
      </c>
      <c r="K26" s="1">
        <v>0.4644</v>
      </c>
      <c r="L26" s="1">
        <v>0.6229</v>
      </c>
    </row>
    <row r="27">
      <c r="A27" s="1" t="s">
        <v>45</v>
      </c>
      <c r="B27" s="1" t="s">
        <v>68</v>
      </c>
      <c r="C27" s="1">
        <v>49.0</v>
      </c>
      <c r="D27" s="1">
        <v>6.0</v>
      </c>
      <c r="E27" s="1">
        <v>5.0</v>
      </c>
      <c r="F27" s="1">
        <v>33.0</v>
      </c>
      <c r="G27" s="1">
        <v>5.0</v>
      </c>
      <c r="H27" s="1">
        <v>0.7959</v>
      </c>
      <c r="I27" s="1">
        <v>0.5455</v>
      </c>
      <c r="J27" s="1">
        <v>0.5455</v>
      </c>
      <c r="K27" s="1">
        <v>0.5455</v>
      </c>
      <c r="L27" s="1">
        <v>0.5455</v>
      </c>
    </row>
    <row r="28">
      <c r="A28" s="1" t="s">
        <v>51</v>
      </c>
      <c r="B28" s="1" t="s">
        <v>68</v>
      </c>
      <c r="C28" s="1">
        <v>662.0</v>
      </c>
      <c r="D28" s="1">
        <v>92.0</v>
      </c>
      <c r="E28" s="1">
        <v>148.0</v>
      </c>
      <c r="F28" s="1">
        <v>383.0</v>
      </c>
      <c r="G28" s="1">
        <v>39.0</v>
      </c>
      <c r="H28" s="1">
        <v>0.7175</v>
      </c>
      <c r="I28" s="1">
        <v>0.3833</v>
      </c>
      <c r="J28" s="1">
        <v>0.7023</v>
      </c>
      <c r="K28" s="1">
        <v>0.496</v>
      </c>
      <c r="L28" s="1">
        <v>0.6021</v>
      </c>
    </row>
    <row r="29">
      <c r="A29" s="1" t="s">
        <v>46</v>
      </c>
      <c r="B29" s="1" t="s">
        <v>68</v>
      </c>
      <c r="C29" s="1">
        <v>89.0</v>
      </c>
      <c r="D29" s="1">
        <v>4.0</v>
      </c>
      <c r="E29" s="1">
        <v>13.0</v>
      </c>
      <c r="F29" s="1">
        <v>71.0</v>
      </c>
      <c r="G29" s="1">
        <v>1.0</v>
      </c>
      <c r="H29" s="1">
        <v>0.8427</v>
      </c>
      <c r="I29" s="1">
        <v>0.2353</v>
      </c>
      <c r="J29" s="1">
        <v>0.8</v>
      </c>
      <c r="K29" s="1">
        <v>0.3636</v>
      </c>
      <c r="L29" s="1">
        <v>0.5405</v>
      </c>
    </row>
    <row r="30">
      <c r="A30" s="1" t="s">
        <v>58</v>
      </c>
      <c r="B30" s="1" t="s">
        <v>68</v>
      </c>
      <c r="C30" s="1">
        <v>55.0</v>
      </c>
      <c r="D30" s="1">
        <v>3.0</v>
      </c>
      <c r="E30" s="1">
        <v>14.0</v>
      </c>
      <c r="F30" s="1">
        <v>37.0</v>
      </c>
      <c r="G30" s="1">
        <v>1.0</v>
      </c>
      <c r="H30" s="1">
        <v>0.7273</v>
      </c>
      <c r="I30" s="1">
        <v>0.1765</v>
      </c>
      <c r="J30" s="1">
        <v>0.75</v>
      </c>
      <c r="K30" s="1">
        <v>0.2857</v>
      </c>
      <c r="L30" s="1">
        <v>0.4545</v>
      </c>
    </row>
    <row r="31">
      <c r="A31" s="1" t="s">
        <v>77</v>
      </c>
      <c r="B31" s="1" t="s">
        <v>68</v>
      </c>
      <c r="C31" s="1">
        <v>62.0</v>
      </c>
      <c r="D31" s="1">
        <v>8.0</v>
      </c>
      <c r="E31" s="1">
        <v>17.0</v>
      </c>
      <c r="F31" s="1">
        <v>32.0</v>
      </c>
      <c r="G31" s="1">
        <v>5.0</v>
      </c>
      <c r="H31" s="1">
        <v>0.6452</v>
      </c>
      <c r="I31" s="1">
        <v>0.32</v>
      </c>
      <c r="J31" s="1">
        <v>0.6154</v>
      </c>
      <c r="K31" s="1">
        <v>0.4211</v>
      </c>
      <c r="L31" s="1">
        <v>0.5195</v>
      </c>
    </row>
    <row r="32">
      <c r="A32" s="1" t="s">
        <v>43</v>
      </c>
      <c r="B32" s="1" t="s">
        <v>68</v>
      </c>
      <c r="C32" s="1">
        <v>194.0</v>
      </c>
      <c r="D32" s="1">
        <v>37.0</v>
      </c>
      <c r="E32" s="1">
        <v>32.0</v>
      </c>
      <c r="F32" s="1">
        <v>116.0</v>
      </c>
      <c r="G32" s="1">
        <v>9.0</v>
      </c>
      <c r="H32" s="1">
        <v>0.7887</v>
      </c>
      <c r="I32" s="1">
        <v>0.5362</v>
      </c>
      <c r="J32" s="1">
        <v>0.8043</v>
      </c>
      <c r="K32" s="1">
        <v>0.6435</v>
      </c>
      <c r="L32" s="1">
        <v>0.7312</v>
      </c>
    </row>
    <row r="33">
      <c r="A33" s="1" t="s">
        <v>54</v>
      </c>
      <c r="B33" s="1" t="s">
        <v>68</v>
      </c>
      <c r="C33" s="1">
        <v>26.0</v>
      </c>
      <c r="D33" s="1">
        <v>3.0</v>
      </c>
      <c r="E33" s="1">
        <v>10.0</v>
      </c>
      <c r="F33" s="1">
        <v>12.0</v>
      </c>
      <c r="G33" s="1">
        <v>1.0</v>
      </c>
      <c r="H33" s="1">
        <v>0.5769</v>
      </c>
      <c r="I33" s="1">
        <v>0.2308</v>
      </c>
      <c r="J33" s="1">
        <v>0.75</v>
      </c>
      <c r="K33" s="1">
        <v>0.3529</v>
      </c>
      <c r="L33" s="1">
        <v>0.5172</v>
      </c>
    </row>
    <row r="34">
      <c r="A34" s="1" t="s">
        <v>78</v>
      </c>
      <c r="B34" s="1" t="s">
        <v>68</v>
      </c>
      <c r="C34" s="1">
        <v>23.0</v>
      </c>
      <c r="D34" s="1">
        <v>1.0</v>
      </c>
      <c r="E34" s="1">
        <v>7.0</v>
      </c>
      <c r="F34" s="1">
        <v>15.0</v>
      </c>
      <c r="G34" s="1">
        <v>0.0</v>
      </c>
      <c r="H34" s="1">
        <v>0.6957</v>
      </c>
      <c r="I34" s="1">
        <v>0.125</v>
      </c>
      <c r="J34" s="1">
        <v>1.0</v>
      </c>
      <c r="K34" s="1">
        <v>0.2222</v>
      </c>
      <c r="L34" s="1">
        <v>0.4167</v>
      </c>
    </row>
    <row r="35">
      <c r="A35" s="1" t="s">
        <v>44</v>
      </c>
      <c r="B35" s="1" t="s">
        <v>68</v>
      </c>
      <c r="C35" s="1">
        <v>65.0</v>
      </c>
      <c r="D35" s="1">
        <v>9.0</v>
      </c>
      <c r="E35" s="1">
        <v>14.0</v>
      </c>
      <c r="F35" s="1">
        <v>37.0</v>
      </c>
      <c r="G35" s="1">
        <v>5.0</v>
      </c>
      <c r="H35" s="1">
        <v>0.7077</v>
      </c>
      <c r="I35" s="1">
        <v>0.3913</v>
      </c>
      <c r="J35" s="1">
        <v>0.6429</v>
      </c>
      <c r="K35" s="1">
        <v>0.4865</v>
      </c>
      <c r="L35" s="1">
        <v>0.5696</v>
      </c>
    </row>
    <row r="36">
      <c r="A36" s="1" t="s">
        <v>56</v>
      </c>
      <c r="B36" s="1" t="s">
        <v>68</v>
      </c>
      <c r="C36" s="1">
        <v>446.0</v>
      </c>
      <c r="D36" s="1">
        <v>39.0</v>
      </c>
      <c r="E36" s="1">
        <v>75.0</v>
      </c>
      <c r="F36" s="1">
        <v>323.0</v>
      </c>
      <c r="G36" s="1">
        <v>9.0</v>
      </c>
      <c r="H36" s="1">
        <v>0.8117</v>
      </c>
      <c r="I36" s="1">
        <v>0.3421</v>
      </c>
      <c r="J36" s="1">
        <v>0.8125</v>
      </c>
      <c r="K36" s="1">
        <v>0.4815</v>
      </c>
      <c r="L36" s="1">
        <v>0.6373</v>
      </c>
    </row>
    <row r="37">
      <c r="A37" s="1" t="s">
        <v>49</v>
      </c>
      <c r="B37" s="1" t="s">
        <v>68</v>
      </c>
      <c r="C37" s="1">
        <v>95.0</v>
      </c>
      <c r="D37" s="1">
        <v>12.0</v>
      </c>
      <c r="E37" s="1">
        <v>16.0</v>
      </c>
      <c r="F37" s="1">
        <v>59.0</v>
      </c>
      <c r="G37" s="1">
        <v>8.0</v>
      </c>
      <c r="H37" s="1">
        <v>0.7474</v>
      </c>
      <c r="I37" s="1">
        <v>0.4286</v>
      </c>
      <c r="J37" s="1">
        <v>0.6</v>
      </c>
      <c r="K37" s="1">
        <v>0.5</v>
      </c>
      <c r="L37" s="1">
        <v>0.5556</v>
      </c>
    </row>
    <row r="38">
      <c r="A38" s="1" t="s">
        <v>52</v>
      </c>
      <c r="B38" s="1" t="s">
        <v>68</v>
      </c>
      <c r="C38" s="1">
        <v>587.0</v>
      </c>
      <c r="D38" s="1">
        <v>74.0</v>
      </c>
      <c r="E38" s="1">
        <v>137.0</v>
      </c>
      <c r="F38" s="1">
        <v>350.0</v>
      </c>
      <c r="G38" s="1">
        <v>26.0</v>
      </c>
      <c r="H38" s="1">
        <v>0.7223</v>
      </c>
      <c r="I38" s="1">
        <v>0.3507</v>
      </c>
      <c r="J38" s="1">
        <v>0.74</v>
      </c>
      <c r="K38" s="1">
        <v>0.4759</v>
      </c>
      <c r="L38" s="1">
        <v>0.6056</v>
      </c>
    </row>
    <row r="39">
      <c r="A39" s="1" t="s">
        <v>57</v>
      </c>
      <c r="B39" s="1" t="s">
        <v>68</v>
      </c>
      <c r="C39" s="1">
        <v>153.0</v>
      </c>
      <c r="D39" s="1">
        <v>14.0</v>
      </c>
      <c r="E39" s="1">
        <v>36.0</v>
      </c>
      <c r="F39" s="1">
        <v>92.0</v>
      </c>
      <c r="G39" s="1">
        <v>11.0</v>
      </c>
      <c r="H39" s="1">
        <v>0.6928</v>
      </c>
      <c r="I39" s="1">
        <v>0.28</v>
      </c>
      <c r="J39" s="1">
        <v>0.56</v>
      </c>
      <c r="K39" s="1">
        <v>0.3733</v>
      </c>
      <c r="L39" s="1">
        <v>0.4667</v>
      </c>
    </row>
    <row r="40">
      <c r="A40" s="1" t="s">
        <v>42</v>
      </c>
      <c r="B40" s="1" t="s">
        <v>69</v>
      </c>
      <c r="C40" s="1">
        <v>16.0</v>
      </c>
      <c r="D40" s="1">
        <v>5.0</v>
      </c>
      <c r="E40" s="1">
        <v>3.0</v>
      </c>
      <c r="F40" s="1">
        <v>7.0</v>
      </c>
      <c r="G40" s="1">
        <v>1.0</v>
      </c>
      <c r="H40" s="1">
        <v>0.75</v>
      </c>
      <c r="I40" s="1">
        <v>0.625</v>
      </c>
      <c r="J40" s="1">
        <v>0.8333</v>
      </c>
      <c r="K40" s="1">
        <v>0.7143</v>
      </c>
      <c r="L40" s="1">
        <v>0.7812</v>
      </c>
    </row>
    <row r="41">
      <c r="A41" s="1" t="s">
        <v>53</v>
      </c>
      <c r="B41" s="1" t="s">
        <v>69</v>
      </c>
      <c r="C41" s="1">
        <v>897.0</v>
      </c>
      <c r="D41" s="1">
        <v>136.0</v>
      </c>
      <c r="E41" s="1">
        <v>207.0</v>
      </c>
      <c r="F41" s="1">
        <v>522.0</v>
      </c>
      <c r="G41" s="1">
        <v>32.0</v>
      </c>
      <c r="H41" s="1">
        <v>0.7336</v>
      </c>
      <c r="I41" s="1">
        <v>0.3965</v>
      </c>
      <c r="J41" s="1">
        <v>0.8095</v>
      </c>
      <c r="K41" s="1">
        <v>0.5323</v>
      </c>
      <c r="L41" s="1">
        <v>0.67</v>
      </c>
    </row>
    <row r="42">
      <c r="A42" s="1" t="s">
        <v>47</v>
      </c>
      <c r="B42" s="1" t="s">
        <v>69</v>
      </c>
      <c r="C42" s="1">
        <v>274.0</v>
      </c>
      <c r="D42" s="1">
        <v>33.0</v>
      </c>
      <c r="E42" s="1">
        <v>39.0</v>
      </c>
      <c r="F42" s="1">
        <v>185.0</v>
      </c>
      <c r="G42" s="1">
        <v>17.0</v>
      </c>
      <c r="H42" s="1">
        <v>0.7956</v>
      </c>
      <c r="I42" s="1">
        <v>0.4583</v>
      </c>
      <c r="J42" s="1">
        <v>0.66</v>
      </c>
      <c r="K42" s="1">
        <v>0.541</v>
      </c>
      <c r="L42" s="1">
        <v>0.6066</v>
      </c>
    </row>
    <row r="43">
      <c r="A43" s="1" t="s">
        <v>48</v>
      </c>
      <c r="B43" s="1" t="s">
        <v>69</v>
      </c>
      <c r="C43" s="1">
        <v>26.0</v>
      </c>
      <c r="D43" s="1">
        <v>2.0</v>
      </c>
      <c r="E43" s="1">
        <v>3.0</v>
      </c>
      <c r="F43" s="1">
        <v>18.0</v>
      </c>
      <c r="G43" s="1">
        <v>3.0</v>
      </c>
      <c r="H43" s="1">
        <v>0.7692</v>
      </c>
      <c r="I43" s="1">
        <v>0.4</v>
      </c>
      <c r="J43" s="1">
        <v>0.4</v>
      </c>
      <c r="K43" s="1">
        <v>0.4</v>
      </c>
      <c r="L43" s="1">
        <v>0.4</v>
      </c>
    </row>
    <row r="44">
      <c r="A44" s="1" t="s">
        <v>55</v>
      </c>
      <c r="B44" s="1" t="s">
        <v>69</v>
      </c>
      <c r="C44" s="1">
        <v>469.0</v>
      </c>
      <c r="D44" s="1">
        <v>35.0</v>
      </c>
      <c r="E44" s="1">
        <v>104.0</v>
      </c>
      <c r="F44" s="1">
        <v>321.0</v>
      </c>
      <c r="G44" s="1">
        <v>9.0</v>
      </c>
      <c r="H44" s="1">
        <v>0.7591</v>
      </c>
      <c r="I44" s="1">
        <v>0.2518</v>
      </c>
      <c r="J44" s="1">
        <v>0.7955</v>
      </c>
      <c r="K44" s="1">
        <v>0.3825</v>
      </c>
      <c r="L44" s="1">
        <v>0.5556</v>
      </c>
    </row>
    <row r="45">
      <c r="A45" s="1" t="s">
        <v>50</v>
      </c>
      <c r="B45" s="1" t="s">
        <v>69</v>
      </c>
      <c r="C45" s="1">
        <v>679.0</v>
      </c>
      <c r="D45" s="1">
        <v>70.0</v>
      </c>
      <c r="E45" s="1">
        <v>126.0</v>
      </c>
      <c r="F45" s="1">
        <v>460.0</v>
      </c>
      <c r="G45" s="1">
        <v>23.0</v>
      </c>
      <c r="H45" s="1">
        <v>0.7806</v>
      </c>
      <c r="I45" s="1">
        <v>0.3571</v>
      </c>
      <c r="J45" s="1">
        <v>0.7527</v>
      </c>
      <c r="K45" s="1">
        <v>0.4844</v>
      </c>
      <c r="L45" s="1">
        <v>0.6162</v>
      </c>
    </row>
    <row r="46">
      <c r="A46" s="1" t="s">
        <v>45</v>
      </c>
      <c r="B46" s="1" t="s">
        <v>69</v>
      </c>
      <c r="C46" s="1">
        <v>49.0</v>
      </c>
      <c r="D46" s="1">
        <v>7.0</v>
      </c>
      <c r="E46" s="1">
        <v>8.0</v>
      </c>
      <c r="F46" s="1">
        <v>30.0</v>
      </c>
      <c r="G46" s="1">
        <v>4.0</v>
      </c>
      <c r="H46" s="1">
        <v>0.7551</v>
      </c>
      <c r="I46" s="1">
        <v>0.4667</v>
      </c>
      <c r="J46" s="1">
        <v>0.6364</v>
      </c>
      <c r="K46" s="1">
        <v>0.5385</v>
      </c>
      <c r="L46" s="1">
        <v>0.5932</v>
      </c>
    </row>
    <row r="47">
      <c r="A47" s="1" t="s">
        <v>51</v>
      </c>
      <c r="B47" s="1" t="s">
        <v>69</v>
      </c>
      <c r="C47" s="1">
        <v>662.0</v>
      </c>
      <c r="D47" s="1">
        <v>94.0</v>
      </c>
      <c r="E47" s="1">
        <v>151.0</v>
      </c>
      <c r="F47" s="1">
        <v>380.0</v>
      </c>
      <c r="G47" s="1">
        <v>37.0</v>
      </c>
      <c r="H47" s="1">
        <v>0.716</v>
      </c>
      <c r="I47" s="1">
        <v>0.3837</v>
      </c>
      <c r="J47" s="1">
        <v>0.7176</v>
      </c>
      <c r="K47" s="1">
        <v>0.5</v>
      </c>
      <c r="L47" s="1">
        <v>0.6112</v>
      </c>
    </row>
    <row r="48">
      <c r="A48" s="1" t="s">
        <v>46</v>
      </c>
      <c r="B48" s="1" t="s">
        <v>69</v>
      </c>
      <c r="C48" s="1">
        <v>89.0</v>
      </c>
      <c r="D48" s="1">
        <v>5.0</v>
      </c>
      <c r="E48" s="1">
        <v>6.0</v>
      </c>
      <c r="F48" s="1">
        <v>78.0</v>
      </c>
      <c r="G48" s="1">
        <v>0.0</v>
      </c>
      <c r="H48" s="1">
        <v>0.9326</v>
      </c>
      <c r="I48" s="1">
        <v>0.4545</v>
      </c>
      <c r="J48" s="1">
        <v>1.0</v>
      </c>
      <c r="K48" s="1">
        <v>0.625</v>
      </c>
      <c r="L48" s="1">
        <v>0.8065</v>
      </c>
    </row>
    <row r="49">
      <c r="A49" s="1" t="s">
        <v>58</v>
      </c>
      <c r="B49" s="1" t="s">
        <v>69</v>
      </c>
      <c r="C49" s="1">
        <v>55.0</v>
      </c>
      <c r="D49" s="1">
        <v>3.0</v>
      </c>
      <c r="E49" s="1">
        <v>11.0</v>
      </c>
      <c r="F49" s="1">
        <v>40.0</v>
      </c>
      <c r="G49" s="1">
        <v>1.0</v>
      </c>
      <c r="H49" s="1">
        <v>0.7818</v>
      </c>
      <c r="I49" s="1">
        <v>0.2143</v>
      </c>
      <c r="J49" s="1">
        <v>0.75</v>
      </c>
      <c r="K49" s="1">
        <v>0.3333</v>
      </c>
      <c r="L49" s="1">
        <v>0.5</v>
      </c>
    </row>
    <row r="50">
      <c r="A50" s="1" t="s">
        <v>77</v>
      </c>
      <c r="B50" s="1" t="s">
        <v>69</v>
      </c>
      <c r="C50" s="1">
        <v>62.0</v>
      </c>
      <c r="D50" s="1">
        <v>9.0</v>
      </c>
      <c r="E50" s="1">
        <v>18.0</v>
      </c>
      <c r="F50" s="1">
        <v>31.0</v>
      </c>
      <c r="G50" s="1">
        <v>4.0</v>
      </c>
      <c r="H50" s="1">
        <v>0.6452</v>
      </c>
      <c r="I50" s="1">
        <v>0.3333</v>
      </c>
      <c r="J50" s="1">
        <v>0.6923</v>
      </c>
      <c r="K50" s="1">
        <v>0.45</v>
      </c>
      <c r="L50" s="1">
        <v>0.5696</v>
      </c>
    </row>
    <row r="51">
      <c r="A51" s="1" t="s">
        <v>43</v>
      </c>
      <c r="B51" s="1" t="s">
        <v>69</v>
      </c>
      <c r="C51" s="1">
        <v>194.0</v>
      </c>
      <c r="D51" s="1">
        <v>37.0</v>
      </c>
      <c r="E51" s="1">
        <v>42.0</v>
      </c>
      <c r="F51" s="1">
        <v>106.0</v>
      </c>
      <c r="G51" s="1">
        <v>9.0</v>
      </c>
      <c r="H51" s="1">
        <v>0.7371</v>
      </c>
      <c r="I51" s="1">
        <v>0.4684</v>
      </c>
      <c r="J51" s="1">
        <v>0.8043</v>
      </c>
      <c r="K51" s="1">
        <v>0.592</v>
      </c>
      <c r="L51" s="1">
        <v>0.7034</v>
      </c>
    </row>
    <row r="52">
      <c r="A52" s="1" t="s">
        <v>54</v>
      </c>
      <c r="B52" s="1" t="s">
        <v>69</v>
      </c>
      <c r="C52" s="1">
        <v>26.0</v>
      </c>
      <c r="D52" s="1">
        <v>3.0</v>
      </c>
      <c r="E52" s="1">
        <v>6.0</v>
      </c>
      <c r="F52" s="1">
        <v>16.0</v>
      </c>
      <c r="G52" s="1">
        <v>1.0</v>
      </c>
      <c r="H52" s="1">
        <v>0.7308</v>
      </c>
      <c r="I52" s="1">
        <v>0.3333</v>
      </c>
      <c r="J52" s="1">
        <v>0.75</v>
      </c>
      <c r="K52" s="1">
        <v>0.4615</v>
      </c>
      <c r="L52" s="1">
        <v>0.6</v>
      </c>
    </row>
    <row r="53">
      <c r="A53" s="1" t="s">
        <v>78</v>
      </c>
      <c r="B53" s="1" t="s">
        <v>69</v>
      </c>
      <c r="C53" s="1">
        <v>23.0</v>
      </c>
      <c r="D53" s="1">
        <v>1.0</v>
      </c>
      <c r="E53" s="1">
        <v>8.0</v>
      </c>
      <c r="F53" s="1">
        <v>14.0</v>
      </c>
      <c r="G53" s="1">
        <v>0.0</v>
      </c>
      <c r="H53" s="1">
        <v>0.6522</v>
      </c>
      <c r="I53" s="1">
        <v>0.1111</v>
      </c>
      <c r="J53" s="1">
        <v>1.0</v>
      </c>
      <c r="K53" s="1">
        <v>0.2</v>
      </c>
      <c r="L53" s="1">
        <v>0.3846</v>
      </c>
    </row>
    <row r="54">
      <c r="A54" s="1" t="s">
        <v>44</v>
      </c>
      <c r="B54" s="1" t="s">
        <v>69</v>
      </c>
      <c r="C54" s="1">
        <v>65.0</v>
      </c>
      <c r="D54" s="1">
        <v>8.0</v>
      </c>
      <c r="E54" s="1">
        <v>11.0</v>
      </c>
      <c r="F54" s="1">
        <v>40.0</v>
      </c>
      <c r="G54" s="1">
        <v>6.0</v>
      </c>
      <c r="H54" s="1">
        <v>0.7385</v>
      </c>
      <c r="I54" s="1">
        <v>0.4211</v>
      </c>
      <c r="J54" s="1">
        <v>0.5714</v>
      </c>
      <c r="K54" s="1">
        <v>0.4848</v>
      </c>
      <c r="L54" s="1">
        <v>0.5333</v>
      </c>
    </row>
    <row r="55">
      <c r="A55" s="1" t="s">
        <v>56</v>
      </c>
      <c r="B55" s="1" t="s">
        <v>69</v>
      </c>
      <c r="C55" s="1">
        <v>446.0</v>
      </c>
      <c r="D55" s="1">
        <v>40.0</v>
      </c>
      <c r="E55" s="1">
        <v>53.0</v>
      </c>
      <c r="F55" s="1">
        <v>345.0</v>
      </c>
      <c r="G55" s="1">
        <v>8.0</v>
      </c>
      <c r="H55" s="1">
        <v>0.8632</v>
      </c>
      <c r="I55" s="1">
        <v>0.4301</v>
      </c>
      <c r="J55" s="1">
        <v>0.8333</v>
      </c>
      <c r="K55" s="1">
        <v>0.5674</v>
      </c>
      <c r="L55" s="1">
        <v>0.7018</v>
      </c>
    </row>
    <row r="56">
      <c r="A56" s="1" t="s">
        <v>49</v>
      </c>
      <c r="B56" s="1" t="s">
        <v>69</v>
      </c>
      <c r="C56" s="1">
        <v>95.0</v>
      </c>
      <c r="D56" s="1">
        <v>13.0</v>
      </c>
      <c r="E56" s="1">
        <v>18.0</v>
      </c>
      <c r="F56" s="1">
        <v>57.0</v>
      </c>
      <c r="G56" s="1">
        <v>7.0</v>
      </c>
      <c r="H56" s="1">
        <v>0.7368</v>
      </c>
      <c r="I56" s="1">
        <v>0.4194</v>
      </c>
      <c r="J56" s="1">
        <v>0.65</v>
      </c>
      <c r="K56" s="1">
        <v>0.5098</v>
      </c>
      <c r="L56" s="1">
        <v>0.5856</v>
      </c>
    </row>
    <row r="57">
      <c r="A57" s="1" t="s">
        <v>52</v>
      </c>
      <c r="B57" s="1" t="s">
        <v>69</v>
      </c>
      <c r="C57" s="1">
        <v>587.0</v>
      </c>
      <c r="D57" s="1">
        <v>67.0</v>
      </c>
      <c r="E57" s="1">
        <v>122.0</v>
      </c>
      <c r="F57" s="1">
        <v>365.0</v>
      </c>
      <c r="G57" s="1">
        <v>33.0</v>
      </c>
      <c r="H57" s="1">
        <v>0.7359</v>
      </c>
      <c r="I57" s="1">
        <v>0.3545</v>
      </c>
      <c r="J57" s="1">
        <v>0.67</v>
      </c>
      <c r="K57" s="1">
        <v>0.4637</v>
      </c>
      <c r="L57" s="1">
        <v>0.5688</v>
      </c>
    </row>
    <row r="58">
      <c r="A58" s="1" t="s">
        <v>57</v>
      </c>
      <c r="B58" s="1" t="s">
        <v>69</v>
      </c>
      <c r="C58" s="1">
        <v>153.0</v>
      </c>
      <c r="D58" s="1">
        <v>16.0</v>
      </c>
      <c r="E58" s="1">
        <v>30.0</v>
      </c>
      <c r="F58" s="1">
        <v>98.0</v>
      </c>
      <c r="G58" s="1">
        <v>9.0</v>
      </c>
      <c r="H58" s="1">
        <v>0.7451</v>
      </c>
      <c r="I58" s="1">
        <v>0.3478</v>
      </c>
      <c r="J58" s="1">
        <v>0.64</v>
      </c>
      <c r="K58" s="1">
        <v>0.4507</v>
      </c>
      <c r="L58" s="1">
        <v>0.5479</v>
      </c>
    </row>
    <row r="59">
      <c r="A59" s="1" t="s">
        <v>42</v>
      </c>
      <c r="B59" s="1" t="s">
        <v>70</v>
      </c>
      <c r="C59" s="1">
        <v>16.0</v>
      </c>
      <c r="D59" s="1">
        <v>5.0</v>
      </c>
      <c r="E59" s="1">
        <v>3.0</v>
      </c>
      <c r="F59" s="1">
        <v>7.0</v>
      </c>
      <c r="G59" s="1">
        <v>1.0</v>
      </c>
      <c r="H59" s="1">
        <v>0.75</v>
      </c>
      <c r="I59" s="1">
        <v>0.625</v>
      </c>
      <c r="J59" s="1">
        <v>0.8333</v>
      </c>
      <c r="K59" s="1">
        <v>0.7143</v>
      </c>
      <c r="L59" s="1">
        <v>0.7812</v>
      </c>
    </row>
    <row r="60">
      <c r="A60" s="1" t="s">
        <v>53</v>
      </c>
      <c r="B60" s="1" t="s">
        <v>70</v>
      </c>
      <c r="C60" s="1">
        <v>897.0</v>
      </c>
      <c r="D60" s="1">
        <v>137.0</v>
      </c>
      <c r="E60" s="1">
        <v>193.0</v>
      </c>
      <c r="F60" s="1">
        <v>536.0</v>
      </c>
      <c r="G60" s="1">
        <v>31.0</v>
      </c>
      <c r="H60" s="1">
        <v>0.7503</v>
      </c>
      <c r="I60" s="1">
        <v>0.4152</v>
      </c>
      <c r="J60" s="1">
        <v>0.8155</v>
      </c>
      <c r="K60" s="1">
        <v>0.5502</v>
      </c>
      <c r="L60" s="1">
        <v>0.6836</v>
      </c>
    </row>
    <row r="61">
      <c r="A61" s="1" t="s">
        <v>47</v>
      </c>
      <c r="B61" s="1" t="s">
        <v>70</v>
      </c>
      <c r="C61" s="1">
        <v>274.0</v>
      </c>
      <c r="D61" s="1">
        <v>33.0</v>
      </c>
      <c r="E61" s="1">
        <v>37.0</v>
      </c>
      <c r="F61" s="1">
        <v>187.0</v>
      </c>
      <c r="G61" s="1">
        <v>17.0</v>
      </c>
      <c r="H61" s="1">
        <v>0.8029</v>
      </c>
      <c r="I61" s="1">
        <v>0.4714</v>
      </c>
      <c r="J61" s="1">
        <v>0.66</v>
      </c>
      <c r="K61" s="1">
        <v>0.55</v>
      </c>
      <c r="L61" s="1">
        <v>0.6111</v>
      </c>
    </row>
    <row r="62">
      <c r="A62" s="1" t="s">
        <v>48</v>
      </c>
      <c r="B62" s="1" t="s">
        <v>70</v>
      </c>
      <c r="C62" s="1">
        <v>26.0</v>
      </c>
      <c r="D62" s="1">
        <v>1.0</v>
      </c>
      <c r="E62" s="1">
        <v>4.0</v>
      </c>
      <c r="F62" s="1">
        <v>17.0</v>
      </c>
      <c r="G62" s="1">
        <v>4.0</v>
      </c>
      <c r="H62" s="1">
        <v>0.6923</v>
      </c>
      <c r="I62" s="1">
        <v>0.2</v>
      </c>
      <c r="J62" s="1">
        <v>0.2</v>
      </c>
      <c r="K62" s="1">
        <v>0.2</v>
      </c>
      <c r="L62" s="1">
        <v>0.2</v>
      </c>
    </row>
    <row r="63">
      <c r="A63" s="1" t="s">
        <v>55</v>
      </c>
      <c r="B63" s="1" t="s">
        <v>70</v>
      </c>
      <c r="C63" s="1">
        <v>469.0</v>
      </c>
      <c r="D63" s="1">
        <v>32.0</v>
      </c>
      <c r="E63" s="1">
        <v>96.0</v>
      </c>
      <c r="F63" s="1">
        <v>329.0</v>
      </c>
      <c r="G63" s="1">
        <v>12.0</v>
      </c>
      <c r="H63" s="1">
        <v>0.7697</v>
      </c>
      <c r="I63" s="1">
        <v>0.25</v>
      </c>
      <c r="J63" s="1">
        <v>0.7273</v>
      </c>
      <c r="K63" s="1">
        <v>0.3721</v>
      </c>
      <c r="L63" s="1">
        <v>0.5263</v>
      </c>
    </row>
    <row r="64">
      <c r="A64" s="1" t="s">
        <v>50</v>
      </c>
      <c r="B64" s="1" t="s">
        <v>70</v>
      </c>
      <c r="C64" s="1">
        <v>679.0</v>
      </c>
      <c r="D64" s="1">
        <v>68.0</v>
      </c>
      <c r="E64" s="1">
        <v>116.0</v>
      </c>
      <c r="F64" s="1">
        <v>470.0</v>
      </c>
      <c r="G64" s="1">
        <v>25.0</v>
      </c>
      <c r="H64" s="1">
        <v>0.7923</v>
      </c>
      <c r="I64" s="1">
        <v>0.3696</v>
      </c>
      <c r="J64" s="1">
        <v>0.7312</v>
      </c>
      <c r="K64" s="1">
        <v>0.491</v>
      </c>
      <c r="L64" s="1">
        <v>0.6115</v>
      </c>
    </row>
    <row r="65">
      <c r="A65" s="1" t="s">
        <v>45</v>
      </c>
      <c r="B65" s="1" t="s">
        <v>70</v>
      </c>
      <c r="C65" s="1">
        <v>49.0</v>
      </c>
      <c r="D65" s="1">
        <v>6.0</v>
      </c>
      <c r="E65" s="1">
        <v>10.0</v>
      </c>
      <c r="F65" s="1">
        <v>28.0</v>
      </c>
      <c r="G65" s="1">
        <v>5.0</v>
      </c>
      <c r="H65" s="1">
        <v>0.6939</v>
      </c>
      <c r="I65" s="1">
        <v>0.375</v>
      </c>
      <c r="J65" s="1">
        <v>0.5455</v>
      </c>
      <c r="K65" s="1">
        <v>0.4444</v>
      </c>
      <c r="L65" s="1">
        <v>0.5</v>
      </c>
    </row>
    <row r="66">
      <c r="A66" s="1" t="s">
        <v>51</v>
      </c>
      <c r="B66" s="1" t="s">
        <v>70</v>
      </c>
      <c r="C66" s="1">
        <v>662.0</v>
      </c>
      <c r="D66" s="1">
        <v>93.0</v>
      </c>
      <c r="E66" s="1">
        <v>135.0</v>
      </c>
      <c r="F66" s="1">
        <v>396.0</v>
      </c>
      <c r="G66" s="1">
        <v>38.0</v>
      </c>
      <c r="H66" s="1">
        <v>0.7387</v>
      </c>
      <c r="I66" s="1">
        <v>0.4079</v>
      </c>
      <c r="J66" s="1">
        <v>0.7099</v>
      </c>
      <c r="K66" s="1">
        <v>0.5181</v>
      </c>
      <c r="L66" s="1">
        <v>0.6184</v>
      </c>
    </row>
    <row r="67">
      <c r="A67" s="1" t="s">
        <v>46</v>
      </c>
      <c r="B67" s="1" t="s">
        <v>70</v>
      </c>
      <c r="C67" s="1">
        <v>89.0</v>
      </c>
      <c r="D67" s="1">
        <v>5.0</v>
      </c>
      <c r="E67" s="1">
        <v>5.0</v>
      </c>
      <c r="F67" s="1">
        <v>79.0</v>
      </c>
      <c r="G67" s="1">
        <v>0.0</v>
      </c>
      <c r="H67" s="1">
        <v>0.9438</v>
      </c>
      <c r="I67" s="1">
        <v>0.5</v>
      </c>
      <c r="J67" s="1">
        <v>1.0</v>
      </c>
      <c r="K67" s="1">
        <v>0.6667</v>
      </c>
      <c r="L67" s="1">
        <v>0.8333</v>
      </c>
    </row>
    <row r="68">
      <c r="A68" s="1" t="s">
        <v>58</v>
      </c>
      <c r="B68" s="1" t="s">
        <v>70</v>
      </c>
      <c r="C68" s="1">
        <v>55.0</v>
      </c>
      <c r="D68" s="1">
        <v>3.0</v>
      </c>
      <c r="E68" s="1">
        <v>12.0</v>
      </c>
      <c r="F68" s="1">
        <v>39.0</v>
      </c>
      <c r="G68" s="1">
        <v>1.0</v>
      </c>
      <c r="H68" s="1">
        <v>0.7636</v>
      </c>
      <c r="I68" s="1">
        <v>0.2</v>
      </c>
      <c r="J68" s="1">
        <v>0.75</v>
      </c>
      <c r="K68" s="1">
        <v>0.3158</v>
      </c>
      <c r="L68" s="1">
        <v>0.4839</v>
      </c>
    </row>
    <row r="69">
      <c r="A69" s="1" t="s">
        <v>77</v>
      </c>
      <c r="B69" s="1" t="s">
        <v>70</v>
      </c>
      <c r="C69" s="1">
        <v>62.0</v>
      </c>
      <c r="D69" s="1">
        <v>10.0</v>
      </c>
      <c r="E69" s="1">
        <v>17.0</v>
      </c>
      <c r="F69" s="1">
        <v>32.0</v>
      </c>
      <c r="G69" s="1">
        <v>3.0</v>
      </c>
      <c r="H69" s="1">
        <v>0.6774</v>
      </c>
      <c r="I69" s="1">
        <v>0.3704</v>
      </c>
      <c r="J69" s="1">
        <v>0.7692</v>
      </c>
      <c r="K69" s="1">
        <v>0.5</v>
      </c>
      <c r="L69" s="1">
        <v>0.6329</v>
      </c>
    </row>
    <row r="70">
      <c r="A70" s="1" t="s">
        <v>43</v>
      </c>
      <c r="B70" s="1" t="s">
        <v>70</v>
      </c>
      <c r="C70" s="1">
        <v>194.0</v>
      </c>
      <c r="D70" s="1">
        <v>37.0</v>
      </c>
      <c r="E70" s="1">
        <v>38.0</v>
      </c>
      <c r="F70" s="1">
        <v>110.0</v>
      </c>
      <c r="G70" s="1">
        <v>9.0</v>
      </c>
      <c r="H70" s="1">
        <v>0.7577</v>
      </c>
      <c r="I70" s="1">
        <v>0.4933</v>
      </c>
      <c r="J70" s="1">
        <v>0.8043</v>
      </c>
      <c r="K70" s="1">
        <v>0.6116</v>
      </c>
      <c r="L70" s="1">
        <v>0.7143</v>
      </c>
    </row>
    <row r="71">
      <c r="A71" s="1" t="s">
        <v>54</v>
      </c>
      <c r="B71" s="1" t="s">
        <v>70</v>
      </c>
      <c r="C71" s="1">
        <v>26.0</v>
      </c>
      <c r="D71" s="1">
        <v>3.0</v>
      </c>
      <c r="E71" s="1">
        <v>4.0</v>
      </c>
      <c r="F71" s="1">
        <v>18.0</v>
      </c>
      <c r="G71" s="1">
        <v>1.0</v>
      </c>
      <c r="H71" s="1">
        <v>0.8077</v>
      </c>
      <c r="I71" s="1">
        <v>0.4286</v>
      </c>
      <c r="J71" s="1">
        <v>0.75</v>
      </c>
      <c r="K71" s="1">
        <v>0.5455</v>
      </c>
      <c r="L71" s="1">
        <v>0.6522</v>
      </c>
    </row>
    <row r="72">
      <c r="A72" s="1" t="s">
        <v>78</v>
      </c>
      <c r="B72" s="1" t="s">
        <v>70</v>
      </c>
      <c r="C72" s="1">
        <v>23.0</v>
      </c>
      <c r="D72" s="1">
        <v>1.0</v>
      </c>
      <c r="E72" s="1">
        <v>8.0</v>
      </c>
      <c r="F72" s="1">
        <v>14.0</v>
      </c>
      <c r="G72" s="1">
        <v>0.0</v>
      </c>
      <c r="H72" s="1">
        <v>0.6522</v>
      </c>
      <c r="I72" s="1">
        <v>0.1111</v>
      </c>
      <c r="J72" s="1">
        <v>1.0</v>
      </c>
      <c r="K72" s="1">
        <v>0.2</v>
      </c>
      <c r="L72" s="1">
        <v>0.3846</v>
      </c>
    </row>
    <row r="73">
      <c r="A73" s="1" t="s">
        <v>44</v>
      </c>
      <c r="B73" s="1" t="s">
        <v>70</v>
      </c>
      <c r="C73" s="1">
        <v>65.0</v>
      </c>
      <c r="D73" s="1">
        <v>8.0</v>
      </c>
      <c r="E73" s="1">
        <v>8.0</v>
      </c>
      <c r="F73" s="1">
        <v>43.0</v>
      </c>
      <c r="G73" s="1">
        <v>6.0</v>
      </c>
      <c r="H73" s="1">
        <v>0.7846</v>
      </c>
      <c r="I73" s="1">
        <v>0.5</v>
      </c>
      <c r="J73" s="1">
        <v>0.5714</v>
      </c>
      <c r="K73" s="1">
        <v>0.5333</v>
      </c>
      <c r="L73" s="1">
        <v>0.5556</v>
      </c>
    </row>
    <row r="74">
      <c r="A74" s="1" t="s">
        <v>56</v>
      </c>
      <c r="B74" s="1" t="s">
        <v>70</v>
      </c>
      <c r="C74" s="1">
        <v>446.0</v>
      </c>
      <c r="D74" s="1">
        <v>40.0</v>
      </c>
      <c r="E74" s="1">
        <v>45.0</v>
      </c>
      <c r="F74" s="1">
        <v>353.0</v>
      </c>
      <c r="G74" s="1">
        <v>8.0</v>
      </c>
      <c r="H74" s="1">
        <v>0.8812</v>
      </c>
      <c r="I74" s="1">
        <v>0.4706</v>
      </c>
      <c r="J74" s="1">
        <v>0.8333</v>
      </c>
      <c r="K74" s="1">
        <v>0.6015</v>
      </c>
      <c r="L74" s="1">
        <v>0.722</v>
      </c>
    </row>
    <row r="75">
      <c r="A75" s="1" t="s">
        <v>49</v>
      </c>
      <c r="B75" s="1" t="s">
        <v>70</v>
      </c>
      <c r="C75" s="1">
        <v>95.0</v>
      </c>
      <c r="D75" s="1">
        <v>11.0</v>
      </c>
      <c r="E75" s="1">
        <v>16.0</v>
      </c>
      <c r="F75" s="1">
        <v>59.0</v>
      </c>
      <c r="G75" s="1">
        <v>9.0</v>
      </c>
      <c r="H75" s="1">
        <v>0.7368</v>
      </c>
      <c r="I75" s="1">
        <v>0.4074</v>
      </c>
      <c r="J75" s="1">
        <v>0.55</v>
      </c>
      <c r="K75" s="1">
        <v>0.4681</v>
      </c>
      <c r="L75" s="1">
        <v>0.514</v>
      </c>
    </row>
    <row r="76">
      <c r="A76" s="1" t="s">
        <v>52</v>
      </c>
      <c r="B76" s="1" t="s">
        <v>70</v>
      </c>
      <c r="C76" s="1">
        <v>587.0</v>
      </c>
      <c r="D76" s="1">
        <v>66.0</v>
      </c>
      <c r="E76" s="1">
        <v>111.0</v>
      </c>
      <c r="F76" s="1">
        <v>376.0</v>
      </c>
      <c r="G76" s="1">
        <v>34.0</v>
      </c>
      <c r="H76" s="1">
        <v>0.753</v>
      </c>
      <c r="I76" s="1">
        <v>0.3729</v>
      </c>
      <c r="J76" s="1">
        <v>0.66</v>
      </c>
      <c r="K76" s="1">
        <v>0.4765</v>
      </c>
      <c r="L76" s="1">
        <v>0.5719</v>
      </c>
    </row>
    <row r="77">
      <c r="A77" s="1" t="s">
        <v>57</v>
      </c>
      <c r="B77" s="1" t="s">
        <v>70</v>
      </c>
      <c r="C77" s="1">
        <v>153.0</v>
      </c>
      <c r="D77" s="1">
        <v>15.0</v>
      </c>
      <c r="E77" s="1">
        <v>28.0</v>
      </c>
      <c r="F77" s="1">
        <v>100.0</v>
      </c>
      <c r="G77" s="1">
        <v>10.0</v>
      </c>
      <c r="H77" s="1">
        <v>0.7516</v>
      </c>
      <c r="I77" s="1">
        <v>0.3488</v>
      </c>
      <c r="J77" s="1">
        <v>0.6</v>
      </c>
      <c r="K77" s="1">
        <v>0.4412</v>
      </c>
      <c r="L77" s="1">
        <v>0.5245</v>
      </c>
    </row>
    <row r="78">
      <c r="A78" s="1" t="s">
        <v>42</v>
      </c>
      <c r="B78" s="1" t="s">
        <v>71</v>
      </c>
      <c r="C78" s="1">
        <v>16.0</v>
      </c>
      <c r="D78" s="1">
        <v>4.0</v>
      </c>
      <c r="E78" s="1">
        <v>6.0</v>
      </c>
      <c r="F78" s="1">
        <v>4.0</v>
      </c>
      <c r="G78" s="1">
        <v>2.0</v>
      </c>
      <c r="H78" s="1">
        <v>0.5</v>
      </c>
      <c r="I78" s="1">
        <v>0.4</v>
      </c>
      <c r="J78" s="1">
        <v>0.6667</v>
      </c>
      <c r="K78" s="1">
        <v>0.5</v>
      </c>
      <c r="L78" s="1">
        <v>0.5882</v>
      </c>
    </row>
    <row r="79">
      <c r="A79" s="1" t="s">
        <v>53</v>
      </c>
      <c r="B79" s="1" t="s">
        <v>71</v>
      </c>
      <c r="C79" s="1">
        <v>897.0</v>
      </c>
      <c r="D79" s="1">
        <v>140.0</v>
      </c>
      <c r="E79" s="1">
        <v>241.0</v>
      </c>
      <c r="F79" s="1">
        <v>488.0</v>
      </c>
      <c r="G79" s="1">
        <v>28.0</v>
      </c>
      <c r="H79" s="1">
        <v>0.7001</v>
      </c>
      <c r="I79" s="1">
        <v>0.3675</v>
      </c>
      <c r="J79" s="1">
        <v>0.8333</v>
      </c>
      <c r="K79" s="1">
        <v>0.51</v>
      </c>
      <c r="L79" s="1">
        <v>0.6648</v>
      </c>
    </row>
    <row r="80">
      <c r="A80" s="1" t="s">
        <v>47</v>
      </c>
      <c r="B80" s="1" t="s">
        <v>71</v>
      </c>
      <c r="C80" s="1">
        <v>274.0</v>
      </c>
      <c r="D80" s="1">
        <v>36.0</v>
      </c>
      <c r="E80" s="1">
        <v>47.0</v>
      </c>
      <c r="F80" s="1">
        <v>177.0</v>
      </c>
      <c r="G80" s="1">
        <v>14.0</v>
      </c>
      <c r="H80" s="1">
        <v>0.7774</v>
      </c>
      <c r="I80" s="1">
        <v>0.4337</v>
      </c>
      <c r="J80" s="1">
        <v>0.72</v>
      </c>
      <c r="K80" s="1">
        <v>0.5414</v>
      </c>
      <c r="L80" s="1">
        <v>0.636</v>
      </c>
    </row>
    <row r="81">
      <c r="A81" s="1" t="s">
        <v>48</v>
      </c>
      <c r="B81" s="1" t="s">
        <v>71</v>
      </c>
      <c r="C81" s="1">
        <v>26.0</v>
      </c>
      <c r="D81" s="1">
        <v>4.0</v>
      </c>
      <c r="E81" s="1">
        <v>5.0</v>
      </c>
      <c r="F81" s="1">
        <v>16.0</v>
      </c>
      <c r="G81" s="1">
        <v>1.0</v>
      </c>
      <c r="H81" s="1">
        <v>0.7692</v>
      </c>
      <c r="I81" s="1">
        <v>0.4444</v>
      </c>
      <c r="J81" s="1">
        <v>0.8</v>
      </c>
      <c r="K81" s="1">
        <v>0.5714</v>
      </c>
      <c r="L81" s="1">
        <v>0.6897</v>
      </c>
    </row>
    <row r="82">
      <c r="A82" s="1" t="s">
        <v>55</v>
      </c>
      <c r="B82" s="1" t="s">
        <v>71</v>
      </c>
      <c r="C82" s="1">
        <v>469.0</v>
      </c>
      <c r="D82" s="1">
        <v>41.0</v>
      </c>
      <c r="E82" s="1">
        <v>144.0</v>
      </c>
      <c r="F82" s="1">
        <v>281.0</v>
      </c>
      <c r="G82" s="1">
        <v>3.0</v>
      </c>
      <c r="H82" s="1">
        <v>0.6866</v>
      </c>
      <c r="I82" s="1">
        <v>0.2216</v>
      </c>
      <c r="J82" s="1">
        <v>0.9318</v>
      </c>
      <c r="K82" s="1">
        <v>0.3581</v>
      </c>
      <c r="L82" s="1">
        <v>0.5679</v>
      </c>
    </row>
    <row r="83">
      <c r="A83" s="1" t="s">
        <v>50</v>
      </c>
      <c r="B83" s="1" t="s">
        <v>71</v>
      </c>
      <c r="C83" s="1">
        <v>679.0</v>
      </c>
      <c r="D83" s="1">
        <v>76.0</v>
      </c>
      <c r="E83" s="1">
        <v>182.0</v>
      </c>
      <c r="F83" s="1">
        <v>404.0</v>
      </c>
      <c r="G83" s="1">
        <v>17.0</v>
      </c>
      <c r="H83" s="1">
        <v>0.7069</v>
      </c>
      <c r="I83" s="1">
        <v>0.2946</v>
      </c>
      <c r="J83" s="1">
        <v>0.8172</v>
      </c>
      <c r="K83" s="1">
        <v>0.433</v>
      </c>
      <c r="L83" s="1">
        <v>0.6032</v>
      </c>
    </row>
    <row r="84">
      <c r="A84" s="1" t="s">
        <v>45</v>
      </c>
      <c r="B84" s="1" t="s">
        <v>71</v>
      </c>
      <c r="C84" s="1">
        <v>49.0</v>
      </c>
      <c r="D84" s="1">
        <v>7.0</v>
      </c>
      <c r="E84" s="1">
        <v>8.0</v>
      </c>
      <c r="F84" s="1">
        <v>30.0</v>
      </c>
      <c r="G84" s="1">
        <v>4.0</v>
      </c>
      <c r="H84" s="1">
        <v>0.7551</v>
      </c>
      <c r="I84" s="1">
        <v>0.4667</v>
      </c>
      <c r="J84" s="1">
        <v>0.6364</v>
      </c>
      <c r="K84" s="1">
        <v>0.5385</v>
      </c>
      <c r="L84" s="1">
        <v>0.5932</v>
      </c>
    </row>
    <row r="85">
      <c r="A85" s="1" t="s">
        <v>51</v>
      </c>
      <c r="B85" s="1" t="s">
        <v>71</v>
      </c>
      <c r="C85" s="1">
        <v>662.0</v>
      </c>
      <c r="D85" s="1">
        <v>94.0</v>
      </c>
      <c r="E85" s="1">
        <v>147.0</v>
      </c>
      <c r="F85" s="1">
        <v>384.0</v>
      </c>
      <c r="G85" s="1">
        <v>37.0</v>
      </c>
      <c r="H85" s="1">
        <v>0.7221</v>
      </c>
      <c r="I85" s="1">
        <v>0.39</v>
      </c>
      <c r="J85" s="1">
        <v>0.7176</v>
      </c>
      <c r="K85" s="1">
        <v>0.5054</v>
      </c>
      <c r="L85" s="1">
        <v>0.6144</v>
      </c>
    </row>
    <row r="86">
      <c r="A86" s="1" t="s">
        <v>46</v>
      </c>
      <c r="B86" s="1" t="s">
        <v>71</v>
      </c>
      <c r="C86" s="1">
        <v>89.0</v>
      </c>
      <c r="D86" s="1">
        <v>5.0</v>
      </c>
      <c r="E86" s="1">
        <v>9.0</v>
      </c>
      <c r="F86" s="1">
        <v>75.0</v>
      </c>
      <c r="G86" s="1">
        <v>0.0</v>
      </c>
      <c r="H86" s="1">
        <v>0.8989</v>
      </c>
      <c r="I86" s="1">
        <v>0.3571</v>
      </c>
      <c r="J86" s="1">
        <v>1.0</v>
      </c>
      <c r="K86" s="1">
        <v>0.5263</v>
      </c>
      <c r="L86" s="1">
        <v>0.7353</v>
      </c>
    </row>
    <row r="87">
      <c r="A87" s="1" t="s">
        <v>58</v>
      </c>
      <c r="B87" s="1" t="s">
        <v>71</v>
      </c>
      <c r="C87" s="1">
        <v>55.0</v>
      </c>
      <c r="D87" s="1">
        <v>3.0</v>
      </c>
      <c r="E87" s="1">
        <v>19.0</v>
      </c>
      <c r="F87" s="1">
        <v>32.0</v>
      </c>
      <c r="G87" s="1">
        <v>1.0</v>
      </c>
      <c r="H87" s="1">
        <v>0.6364</v>
      </c>
      <c r="I87" s="1">
        <v>0.1364</v>
      </c>
      <c r="J87" s="1">
        <v>0.75</v>
      </c>
      <c r="K87" s="1">
        <v>0.2308</v>
      </c>
      <c r="L87" s="1">
        <v>0.3947</v>
      </c>
    </row>
    <row r="88">
      <c r="A88" s="1" t="s">
        <v>77</v>
      </c>
      <c r="B88" s="1" t="s">
        <v>71</v>
      </c>
      <c r="C88" s="1">
        <v>62.0</v>
      </c>
      <c r="D88" s="1">
        <v>10.0</v>
      </c>
      <c r="E88" s="1">
        <v>22.0</v>
      </c>
      <c r="F88" s="1">
        <v>27.0</v>
      </c>
      <c r="G88" s="1">
        <v>3.0</v>
      </c>
      <c r="H88" s="1">
        <v>0.5968</v>
      </c>
      <c r="I88" s="1">
        <v>0.3125</v>
      </c>
      <c r="J88" s="1">
        <v>0.7692</v>
      </c>
      <c r="K88" s="1">
        <v>0.4444</v>
      </c>
      <c r="L88" s="1">
        <v>0.5952</v>
      </c>
    </row>
    <row r="89">
      <c r="A89" s="1" t="s">
        <v>43</v>
      </c>
      <c r="B89" s="1" t="s">
        <v>71</v>
      </c>
      <c r="C89" s="1">
        <v>194.0</v>
      </c>
      <c r="D89" s="1">
        <v>40.0</v>
      </c>
      <c r="E89" s="1">
        <v>51.0</v>
      </c>
      <c r="F89" s="1">
        <v>97.0</v>
      </c>
      <c r="G89" s="1">
        <v>6.0</v>
      </c>
      <c r="H89" s="1">
        <v>0.7062</v>
      </c>
      <c r="I89" s="1">
        <v>0.4396</v>
      </c>
      <c r="J89" s="1">
        <v>0.8696</v>
      </c>
      <c r="K89" s="1">
        <v>0.5839</v>
      </c>
      <c r="L89" s="1">
        <v>0.7273</v>
      </c>
    </row>
    <row r="90">
      <c r="A90" s="1" t="s">
        <v>54</v>
      </c>
      <c r="B90" s="1" t="s">
        <v>71</v>
      </c>
      <c r="C90" s="1">
        <v>26.0</v>
      </c>
      <c r="D90" s="1">
        <v>3.0</v>
      </c>
      <c r="E90" s="1">
        <v>10.0</v>
      </c>
      <c r="F90" s="1">
        <v>12.0</v>
      </c>
      <c r="G90" s="1">
        <v>1.0</v>
      </c>
      <c r="H90" s="1">
        <v>0.5769</v>
      </c>
      <c r="I90" s="1">
        <v>0.2308</v>
      </c>
      <c r="J90" s="1">
        <v>0.75</v>
      </c>
      <c r="K90" s="1">
        <v>0.3529</v>
      </c>
      <c r="L90" s="1">
        <v>0.5172</v>
      </c>
    </row>
    <row r="91">
      <c r="A91" s="1" t="s">
        <v>78</v>
      </c>
      <c r="B91" s="1" t="s">
        <v>71</v>
      </c>
      <c r="C91" s="1">
        <v>23.0</v>
      </c>
      <c r="D91" s="1">
        <v>1.0</v>
      </c>
      <c r="E91" s="1">
        <v>8.0</v>
      </c>
      <c r="F91" s="1">
        <v>14.0</v>
      </c>
      <c r="G91" s="1">
        <v>0.0</v>
      </c>
      <c r="H91" s="1">
        <v>0.6522</v>
      </c>
      <c r="I91" s="1">
        <v>0.1111</v>
      </c>
      <c r="J91" s="1">
        <v>1.0</v>
      </c>
      <c r="K91" s="1">
        <v>0.2</v>
      </c>
      <c r="L91" s="1">
        <v>0.3846</v>
      </c>
    </row>
    <row r="92">
      <c r="A92" s="1" t="s">
        <v>44</v>
      </c>
      <c r="B92" s="1" t="s">
        <v>71</v>
      </c>
      <c r="C92" s="1">
        <v>65.0</v>
      </c>
      <c r="D92" s="1">
        <v>9.0</v>
      </c>
      <c r="E92" s="1">
        <v>16.0</v>
      </c>
      <c r="F92" s="1">
        <v>35.0</v>
      </c>
      <c r="G92" s="1">
        <v>5.0</v>
      </c>
      <c r="H92" s="1">
        <v>0.6769</v>
      </c>
      <c r="I92" s="1">
        <v>0.36</v>
      </c>
      <c r="J92" s="1">
        <v>0.6429</v>
      </c>
      <c r="K92" s="1">
        <v>0.4615</v>
      </c>
      <c r="L92" s="1">
        <v>0.5556</v>
      </c>
    </row>
    <row r="93">
      <c r="A93" s="1" t="s">
        <v>56</v>
      </c>
      <c r="B93" s="1" t="s">
        <v>71</v>
      </c>
      <c r="C93" s="1">
        <v>446.0</v>
      </c>
      <c r="D93" s="1">
        <v>38.0</v>
      </c>
      <c r="E93" s="1">
        <v>77.0</v>
      </c>
      <c r="F93" s="1">
        <v>321.0</v>
      </c>
      <c r="G93" s="1">
        <v>10.0</v>
      </c>
      <c r="H93" s="1">
        <v>0.8049</v>
      </c>
      <c r="I93" s="1">
        <v>0.3304</v>
      </c>
      <c r="J93" s="1">
        <v>0.7917</v>
      </c>
      <c r="K93" s="1">
        <v>0.4663</v>
      </c>
      <c r="L93" s="1">
        <v>0.6189</v>
      </c>
    </row>
    <row r="94">
      <c r="A94" s="1" t="s">
        <v>49</v>
      </c>
      <c r="B94" s="1" t="s">
        <v>71</v>
      </c>
      <c r="C94" s="1">
        <v>95.0</v>
      </c>
      <c r="D94" s="1">
        <v>14.0</v>
      </c>
      <c r="E94" s="1">
        <v>14.0</v>
      </c>
      <c r="F94" s="1">
        <v>61.0</v>
      </c>
      <c r="G94" s="1">
        <v>6.0</v>
      </c>
      <c r="H94" s="1">
        <v>0.7895</v>
      </c>
      <c r="I94" s="1">
        <v>0.5</v>
      </c>
      <c r="J94" s="1">
        <v>0.7</v>
      </c>
      <c r="K94" s="1">
        <v>0.5833</v>
      </c>
      <c r="L94" s="1">
        <v>0.6481</v>
      </c>
    </row>
    <row r="95">
      <c r="A95" s="1" t="s">
        <v>52</v>
      </c>
      <c r="B95" s="1" t="s">
        <v>71</v>
      </c>
      <c r="C95" s="1">
        <v>587.0</v>
      </c>
      <c r="D95" s="1">
        <v>71.0</v>
      </c>
      <c r="E95" s="1">
        <v>138.0</v>
      </c>
      <c r="F95" s="1">
        <v>349.0</v>
      </c>
      <c r="G95" s="1">
        <v>29.0</v>
      </c>
      <c r="H95" s="1">
        <v>0.7155</v>
      </c>
      <c r="I95" s="1">
        <v>0.3397</v>
      </c>
      <c r="J95" s="1">
        <v>0.71</v>
      </c>
      <c r="K95" s="1">
        <v>0.4595</v>
      </c>
      <c r="L95" s="1">
        <v>0.5829</v>
      </c>
    </row>
    <row r="96">
      <c r="A96" s="1" t="s">
        <v>57</v>
      </c>
      <c r="B96" s="1" t="s">
        <v>71</v>
      </c>
      <c r="C96" s="1">
        <v>153.0</v>
      </c>
      <c r="D96" s="1">
        <v>16.0</v>
      </c>
      <c r="E96" s="1">
        <v>37.0</v>
      </c>
      <c r="F96" s="1">
        <v>91.0</v>
      </c>
      <c r="G96" s="1">
        <v>9.0</v>
      </c>
      <c r="H96" s="1">
        <v>0.6993</v>
      </c>
      <c r="I96" s="1">
        <v>0.3019</v>
      </c>
      <c r="J96" s="1">
        <v>0.64</v>
      </c>
      <c r="K96" s="1">
        <v>0.4103</v>
      </c>
      <c r="L96" s="1">
        <v>0.5229</v>
      </c>
    </row>
    <row r="97">
      <c r="A97" s="1" t="s">
        <v>42</v>
      </c>
      <c r="B97" s="1" t="s">
        <v>72</v>
      </c>
      <c r="C97" s="1">
        <v>16.0</v>
      </c>
      <c r="D97" s="1">
        <v>5.0</v>
      </c>
      <c r="E97" s="1">
        <v>5.0</v>
      </c>
      <c r="F97" s="1">
        <v>5.0</v>
      </c>
      <c r="G97" s="1">
        <v>1.0</v>
      </c>
      <c r="H97" s="1">
        <v>0.625</v>
      </c>
      <c r="I97" s="1">
        <v>0.5</v>
      </c>
      <c r="J97" s="1">
        <v>0.8333</v>
      </c>
      <c r="K97" s="1">
        <v>0.625</v>
      </c>
      <c r="L97" s="1">
        <v>0.7353</v>
      </c>
    </row>
    <row r="98">
      <c r="A98" s="1" t="s">
        <v>53</v>
      </c>
      <c r="B98" s="1" t="s">
        <v>72</v>
      </c>
      <c r="C98" s="1">
        <v>897.0</v>
      </c>
      <c r="D98" s="1">
        <v>136.0</v>
      </c>
      <c r="E98" s="1">
        <v>231.0</v>
      </c>
      <c r="F98" s="1">
        <v>498.0</v>
      </c>
      <c r="G98" s="1">
        <v>32.0</v>
      </c>
      <c r="H98" s="1">
        <v>0.7068</v>
      </c>
      <c r="I98" s="1">
        <v>0.3706</v>
      </c>
      <c r="J98" s="1">
        <v>0.8095</v>
      </c>
      <c r="K98" s="1">
        <v>0.5084</v>
      </c>
      <c r="L98" s="1">
        <v>0.6545</v>
      </c>
    </row>
    <row r="99">
      <c r="A99" s="1" t="s">
        <v>47</v>
      </c>
      <c r="B99" s="1" t="s">
        <v>72</v>
      </c>
      <c r="C99" s="1">
        <v>274.0</v>
      </c>
      <c r="D99" s="1">
        <v>34.0</v>
      </c>
      <c r="E99" s="1">
        <v>42.0</v>
      </c>
      <c r="F99" s="1">
        <v>182.0</v>
      </c>
      <c r="G99" s="1">
        <v>16.0</v>
      </c>
      <c r="H99" s="1">
        <v>0.7883</v>
      </c>
      <c r="I99" s="1">
        <v>0.4474</v>
      </c>
      <c r="J99" s="1">
        <v>0.68</v>
      </c>
      <c r="K99" s="1">
        <v>0.5397</v>
      </c>
      <c r="L99" s="1">
        <v>0.6159</v>
      </c>
    </row>
    <row r="100">
      <c r="A100" s="1" t="s">
        <v>48</v>
      </c>
      <c r="B100" s="1" t="s">
        <v>72</v>
      </c>
      <c r="C100" s="1">
        <v>26.0</v>
      </c>
      <c r="D100" s="1">
        <v>4.0</v>
      </c>
      <c r="E100" s="1">
        <v>5.0</v>
      </c>
      <c r="F100" s="1">
        <v>16.0</v>
      </c>
      <c r="G100" s="1">
        <v>1.0</v>
      </c>
      <c r="H100" s="1">
        <v>0.7692</v>
      </c>
      <c r="I100" s="1">
        <v>0.4444</v>
      </c>
      <c r="J100" s="1">
        <v>0.8</v>
      </c>
      <c r="K100" s="1">
        <v>0.5714</v>
      </c>
      <c r="L100" s="1">
        <v>0.6897</v>
      </c>
    </row>
    <row r="101">
      <c r="A101" s="1" t="s">
        <v>55</v>
      </c>
      <c r="B101" s="1" t="s">
        <v>72</v>
      </c>
      <c r="C101" s="1">
        <v>469.0</v>
      </c>
      <c r="D101" s="1">
        <v>40.0</v>
      </c>
      <c r="E101" s="1">
        <v>132.0</v>
      </c>
      <c r="F101" s="1">
        <v>293.0</v>
      </c>
      <c r="G101" s="1">
        <v>4.0</v>
      </c>
      <c r="H101" s="1">
        <v>0.71</v>
      </c>
      <c r="I101" s="1">
        <v>0.2326</v>
      </c>
      <c r="J101" s="1">
        <v>0.9091</v>
      </c>
      <c r="K101" s="1">
        <v>0.3704</v>
      </c>
      <c r="L101" s="1">
        <v>0.5747</v>
      </c>
    </row>
    <row r="102">
      <c r="A102" s="1" t="s">
        <v>50</v>
      </c>
      <c r="B102" s="1" t="s">
        <v>72</v>
      </c>
      <c r="C102" s="1">
        <v>679.0</v>
      </c>
      <c r="D102" s="1">
        <v>74.0</v>
      </c>
      <c r="E102" s="1">
        <v>177.0</v>
      </c>
      <c r="F102" s="1">
        <v>409.0</v>
      </c>
      <c r="G102" s="1">
        <v>19.0</v>
      </c>
      <c r="H102" s="1">
        <v>0.7113</v>
      </c>
      <c r="I102" s="1">
        <v>0.2948</v>
      </c>
      <c r="J102" s="1">
        <v>0.7957</v>
      </c>
      <c r="K102" s="1">
        <v>0.4302</v>
      </c>
      <c r="L102" s="1">
        <v>0.5939</v>
      </c>
    </row>
    <row r="103">
      <c r="A103" s="1" t="s">
        <v>45</v>
      </c>
      <c r="B103" s="1" t="s">
        <v>72</v>
      </c>
      <c r="C103" s="1">
        <v>49.0</v>
      </c>
      <c r="D103" s="1">
        <v>7.0</v>
      </c>
      <c r="E103" s="1">
        <v>8.0</v>
      </c>
      <c r="F103" s="1">
        <v>30.0</v>
      </c>
      <c r="G103" s="1">
        <v>4.0</v>
      </c>
      <c r="H103" s="1">
        <v>0.7551</v>
      </c>
      <c r="I103" s="1">
        <v>0.4667</v>
      </c>
      <c r="J103" s="1">
        <v>0.6364</v>
      </c>
      <c r="K103" s="1">
        <v>0.5385</v>
      </c>
      <c r="L103" s="1">
        <v>0.5932</v>
      </c>
    </row>
    <row r="104">
      <c r="A104" s="1" t="s">
        <v>51</v>
      </c>
      <c r="B104" s="1" t="s">
        <v>72</v>
      </c>
      <c r="C104" s="1">
        <v>662.0</v>
      </c>
      <c r="D104" s="1">
        <v>99.0</v>
      </c>
      <c r="E104" s="1">
        <v>148.0</v>
      </c>
      <c r="F104" s="1">
        <v>383.0</v>
      </c>
      <c r="G104" s="1">
        <v>32.0</v>
      </c>
      <c r="H104" s="1">
        <v>0.7281</v>
      </c>
      <c r="I104" s="1">
        <v>0.4008</v>
      </c>
      <c r="J104" s="1">
        <v>0.7557</v>
      </c>
      <c r="K104" s="1">
        <v>0.5238</v>
      </c>
      <c r="L104" s="1">
        <v>0.642</v>
      </c>
    </row>
    <row r="105">
      <c r="A105" s="1" t="s">
        <v>46</v>
      </c>
      <c r="B105" s="1" t="s">
        <v>72</v>
      </c>
      <c r="C105" s="1">
        <v>89.0</v>
      </c>
      <c r="D105" s="1">
        <v>4.0</v>
      </c>
      <c r="E105" s="1">
        <v>10.0</v>
      </c>
      <c r="F105" s="1">
        <v>74.0</v>
      </c>
      <c r="G105" s="1">
        <v>1.0</v>
      </c>
      <c r="H105" s="1">
        <v>0.8764</v>
      </c>
      <c r="I105" s="1">
        <v>0.2857</v>
      </c>
      <c r="J105" s="1">
        <v>0.8</v>
      </c>
      <c r="K105" s="1">
        <v>0.4211</v>
      </c>
      <c r="L105" s="1">
        <v>0.5882</v>
      </c>
    </row>
    <row r="106">
      <c r="A106" s="1" t="s">
        <v>58</v>
      </c>
      <c r="B106" s="1" t="s">
        <v>72</v>
      </c>
      <c r="C106" s="1">
        <v>55.0</v>
      </c>
      <c r="D106" s="1">
        <v>3.0</v>
      </c>
      <c r="E106" s="1">
        <v>18.0</v>
      </c>
      <c r="F106" s="1">
        <v>33.0</v>
      </c>
      <c r="G106" s="1">
        <v>1.0</v>
      </c>
      <c r="H106" s="1">
        <v>0.6545</v>
      </c>
      <c r="I106" s="1">
        <v>0.1429</v>
      </c>
      <c r="J106" s="1">
        <v>0.75</v>
      </c>
      <c r="K106" s="1">
        <v>0.24</v>
      </c>
      <c r="L106" s="1">
        <v>0.4054</v>
      </c>
    </row>
    <row r="107">
      <c r="A107" s="1" t="s">
        <v>77</v>
      </c>
      <c r="B107" s="1" t="s">
        <v>72</v>
      </c>
      <c r="C107" s="1">
        <v>62.0</v>
      </c>
      <c r="D107" s="1">
        <v>9.0</v>
      </c>
      <c r="E107" s="1">
        <v>23.0</v>
      </c>
      <c r="F107" s="1">
        <v>26.0</v>
      </c>
      <c r="G107" s="1">
        <v>4.0</v>
      </c>
      <c r="H107" s="1">
        <v>0.5645</v>
      </c>
      <c r="I107" s="1">
        <v>0.2812</v>
      </c>
      <c r="J107" s="1">
        <v>0.6923</v>
      </c>
      <c r="K107" s="1">
        <v>0.4</v>
      </c>
      <c r="L107" s="1">
        <v>0.5357</v>
      </c>
    </row>
    <row r="108">
      <c r="A108" s="1" t="s">
        <v>43</v>
      </c>
      <c r="B108" s="1" t="s">
        <v>72</v>
      </c>
      <c r="C108" s="1">
        <v>194.0</v>
      </c>
      <c r="D108" s="1">
        <v>38.0</v>
      </c>
      <c r="E108" s="1">
        <v>51.0</v>
      </c>
      <c r="F108" s="1">
        <v>97.0</v>
      </c>
      <c r="G108" s="1">
        <v>8.0</v>
      </c>
      <c r="H108" s="1">
        <v>0.6959</v>
      </c>
      <c r="I108" s="1">
        <v>0.427</v>
      </c>
      <c r="J108" s="1">
        <v>0.8261</v>
      </c>
      <c r="K108" s="1">
        <v>0.563</v>
      </c>
      <c r="L108" s="1">
        <v>0.696</v>
      </c>
    </row>
    <row r="109">
      <c r="A109" s="1" t="s">
        <v>54</v>
      </c>
      <c r="B109" s="1" t="s">
        <v>72</v>
      </c>
      <c r="C109" s="1">
        <v>26.0</v>
      </c>
      <c r="D109" s="1">
        <v>3.0</v>
      </c>
      <c r="E109" s="1">
        <v>8.0</v>
      </c>
      <c r="F109" s="1">
        <v>14.0</v>
      </c>
      <c r="G109" s="1">
        <v>1.0</v>
      </c>
      <c r="H109" s="1">
        <v>0.6538</v>
      </c>
      <c r="I109" s="1">
        <v>0.2727</v>
      </c>
      <c r="J109" s="1">
        <v>0.75</v>
      </c>
      <c r="K109" s="1">
        <v>0.4</v>
      </c>
      <c r="L109" s="1">
        <v>0.5556</v>
      </c>
    </row>
    <row r="110">
      <c r="A110" s="1" t="s">
        <v>78</v>
      </c>
      <c r="B110" s="1" t="s">
        <v>72</v>
      </c>
      <c r="C110" s="1">
        <v>23.0</v>
      </c>
      <c r="D110" s="1">
        <v>1.0</v>
      </c>
      <c r="E110" s="1">
        <v>7.0</v>
      </c>
      <c r="F110" s="1">
        <v>15.0</v>
      </c>
      <c r="G110" s="1">
        <v>0.0</v>
      </c>
      <c r="H110" s="1">
        <v>0.6957</v>
      </c>
      <c r="I110" s="1">
        <v>0.125</v>
      </c>
      <c r="J110" s="1">
        <v>1.0</v>
      </c>
      <c r="K110" s="1">
        <v>0.2222</v>
      </c>
      <c r="L110" s="1">
        <v>0.4167</v>
      </c>
    </row>
    <row r="111">
      <c r="A111" s="1" t="s">
        <v>44</v>
      </c>
      <c r="B111" s="1" t="s">
        <v>72</v>
      </c>
      <c r="C111" s="1">
        <v>65.0</v>
      </c>
      <c r="D111" s="1">
        <v>8.0</v>
      </c>
      <c r="E111" s="1">
        <v>14.0</v>
      </c>
      <c r="F111" s="1">
        <v>37.0</v>
      </c>
      <c r="G111" s="1">
        <v>6.0</v>
      </c>
      <c r="H111" s="1">
        <v>0.6923</v>
      </c>
      <c r="I111" s="1">
        <v>0.3636</v>
      </c>
      <c r="J111" s="1">
        <v>0.5714</v>
      </c>
      <c r="K111" s="1">
        <v>0.4444</v>
      </c>
      <c r="L111" s="1">
        <v>0.5128</v>
      </c>
    </row>
    <row r="112">
      <c r="A112" s="1" t="s">
        <v>56</v>
      </c>
      <c r="B112" s="1" t="s">
        <v>72</v>
      </c>
      <c r="C112" s="1">
        <v>446.0</v>
      </c>
      <c r="D112" s="1">
        <v>42.0</v>
      </c>
      <c r="E112" s="1">
        <v>74.0</v>
      </c>
      <c r="F112" s="1">
        <v>324.0</v>
      </c>
      <c r="G112" s="1">
        <v>6.0</v>
      </c>
      <c r="H112" s="1">
        <v>0.8206</v>
      </c>
      <c r="I112" s="1">
        <v>0.3621</v>
      </c>
      <c r="J112" s="1">
        <v>0.875</v>
      </c>
      <c r="K112" s="1">
        <v>0.5122</v>
      </c>
      <c r="L112" s="1">
        <v>0.6818</v>
      </c>
    </row>
    <row r="113">
      <c r="A113" s="1" t="s">
        <v>49</v>
      </c>
      <c r="B113" s="1" t="s">
        <v>72</v>
      </c>
      <c r="C113" s="1">
        <v>95.0</v>
      </c>
      <c r="D113" s="1">
        <v>13.0</v>
      </c>
      <c r="E113" s="1">
        <v>14.0</v>
      </c>
      <c r="F113" s="1">
        <v>61.0</v>
      </c>
      <c r="G113" s="1">
        <v>7.0</v>
      </c>
      <c r="H113" s="1">
        <v>0.7789</v>
      </c>
      <c r="I113" s="1">
        <v>0.4815</v>
      </c>
      <c r="J113" s="1">
        <v>0.65</v>
      </c>
      <c r="K113" s="1">
        <v>0.5532</v>
      </c>
      <c r="L113" s="1">
        <v>0.6075</v>
      </c>
    </row>
    <row r="114">
      <c r="A114" s="1" t="s">
        <v>52</v>
      </c>
      <c r="B114" s="1" t="s">
        <v>72</v>
      </c>
      <c r="C114" s="1">
        <v>587.0</v>
      </c>
      <c r="D114" s="1">
        <v>71.0</v>
      </c>
      <c r="E114" s="1">
        <v>143.0</v>
      </c>
      <c r="F114" s="1">
        <v>344.0</v>
      </c>
      <c r="G114" s="1">
        <v>29.0</v>
      </c>
      <c r="H114" s="1">
        <v>0.707</v>
      </c>
      <c r="I114" s="1">
        <v>0.3318</v>
      </c>
      <c r="J114" s="1">
        <v>0.71</v>
      </c>
      <c r="K114" s="1">
        <v>0.4522</v>
      </c>
      <c r="L114" s="1">
        <v>0.5782</v>
      </c>
    </row>
    <row r="115">
      <c r="A115" s="1" t="s">
        <v>57</v>
      </c>
      <c r="B115" s="1" t="s">
        <v>72</v>
      </c>
      <c r="C115" s="1">
        <v>153.0</v>
      </c>
      <c r="D115" s="1">
        <v>16.0</v>
      </c>
      <c r="E115" s="1">
        <v>33.0</v>
      </c>
      <c r="F115" s="1">
        <v>95.0</v>
      </c>
      <c r="G115" s="1">
        <v>9.0</v>
      </c>
      <c r="H115" s="1">
        <v>0.7255</v>
      </c>
      <c r="I115" s="1">
        <v>0.3265</v>
      </c>
      <c r="J115" s="1">
        <v>0.64</v>
      </c>
      <c r="K115" s="1">
        <v>0.4324</v>
      </c>
      <c r="L115" s="1">
        <v>0.5369</v>
      </c>
    </row>
    <row r="116">
      <c r="A116" s="1" t="s">
        <v>42</v>
      </c>
      <c r="B116" s="1" t="s">
        <v>73</v>
      </c>
      <c r="C116" s="1">
        <v>16.0</v>
      </c>
      <c r="D116" s="1">
        <v>5.0</v>
      </c>
      <c r="E116" s="1">
        <v>3.0</v>
      </c>
      <c r="F116" s="1">
        <v>7.0</v>
      </c>
      <c r="G116" s="1">
        <v>1.0</v>
      </c>
      <c r="H116" s="1">
        <v>0.75</v>
      </c>
      <c r="I116" s="1">
        <v>0.625</v>
      </c>
      <c r="J116" s="1">
        <v>0.8333</v>
      </c>
      <c r="K116" s="1">
        <v>0.7143</v>
      </c>
      <c r="L116" s="1">
        <v>0.7812</v>
      </c>
    </row>
    <row r="117">
      <c r="A117" s="1" t="s">
        <v>53</v>
      </c>
      <c r="B117" s="1" t="s">
        <v>73</v>
      </c>
      <c r="C117" s="1">
        <v>897.0</v>
      </c>
      <c r="D117" s="1">
        <v>133.0</v>
      </c>
      <c r="E117" s="1">
        <v>190.0</v>
      </c>
      <c r="F117" s="1">
        <v>539.0</v>
      </c>
      <c r="G117" s="1">
        <v>35.0</v>
      </c>
      <c r="H117" s="1">
        <v>0.7492</v>
      </c>
      <c r="I117" s="1">
        <v>0.4118</v>
      </c>
      <c r="J117" s="1">
        <v>0.7917</v>
      </c>
      <c r="K117" s="1">
        <v>0.5418</v>
      </c>
      <c r="L117" s="1">
        <v>0.6683</v>
      </c>
    </row>
    <row r="118">
      <c r="A118" s="1" t="s">
        <v>47</v>
      </c>
      <c r="B118" s="1" t="s">
        <v>73</v>
      </c>
      <c r="C118" s="1">
        <v>274.0</v>
      </c>
      <c r="D118" s="1">
        <v>34.0</v>
      </c>
      <c r="E118" s="1">
        <v>37.0</v>
      </c>
      <c r="F118" s="1">
        <v>187.0</v>
      </c>
      <c r="G118" s="1">
        <v>16.0</v>
      </c>
      <c r="H118" s="1">
        <v>0.8066</v>
      </c>
      <c r="I118" s="1">
        <v>0.4789</v>
      </c>
      <c r="J118" s="1">
        <v>0.68</v>
      </c>
      <c r="K118" s="1">
        <v>0.562</v>
      </c>
      <c r="L118" s="1">
        <v>0.6273</v>
      </c>
    </row>
    <row r="119">
      <c r="A119" s="1" t="s">
        <v>48</v>
      </c>
      <c r="B119" s="1" t="s">
        <v>73</v>
      </c>
      <c r="C119" s="1">
        <v>26.0</v>
      </c>
      <c r="D119" s="1">
        <v>1.0</v>
      </c>
      <c r="E119" s="1">
        <v>4.0</v>
      </c>
      <c r="F119" s="1">
        <v>17.0</v>
      </c>
      <c r="G119" s="1">
        <v>4.0</v>
      </c>
      <c r="H119" s="1">
        <v>0.6923</v>
      </c>
      <c r="I119" s="1">
        <v>0.2</v>
      </c>
      <c r="J119" s="1">
        <v>0.2</v>
      </c>
      <c r="K119" s="1">
        <v>0.2</v>
      </c>
      <c r="L119" s="1">
        <v>0.2</v>
      </c>
    </row>
    <row r="120">
      <c r="A120" s="1" t="s">
        <v>55</v>
      </c>
      <c r="B120" s="1" t="s">
        <v>73</v>
      </c>
      <c r="C120" s="1">
        <v>469.0</v>
      </c>
      <c r="D120" s="1">
        <v>34.0</v>
      </c>
      <c r="E120" s="1">
        <v>95.0</v>
      </c>
      <c r="F120" s="1">
        <v>330.0</v>
      </c>
      <c r="G120" s="1">
        <v>10.0</v>
      </c>
      <c r="H120" s="1">
        <v>0.7761</v>
      </c>
      <c r="I120" s="1">
        <v>0.2636</v>
      </c>
      <c r="J120" s="1">
        <v>0.7727</v>
      </c>
      <c r="K120" s="1">
        <v>0.3931</v>
      </c>
      <c r="L120" s="1">
        <v>0.5574</v>
      </c>
    </row>
    <row r="121">
      <c r="A121" s="1" t="s">
        <v>50</v>
      </c>
      <c r="B121" s="1" t="s">
        <v>73</v>
      </c>
      <c r="C121" s="1">
        <v>679.0</v>
      </c>
      <c r="D121" s="1">
        <v>72.0</v>
      </c>
      <c r="E121" s="1">
        <v>124.0</v>
      </c>
      <c r="F121" s="1">
        <v>462.0</v>
      </c>
      <c r="G121" s="1">
        <v>21.0</v>
      </c>
      <c r="H121" s="1">
        <v>0.7865</v>
      </c>
      <c r="I121" s="1">
        <v>0.3673</v>
      </c>
      <c r="J121" s="1">
        <v>0.7742</v>
      </c>
      <c r="K121" s="1">
        <v>0.4983</v>
      </c>
      <c r="L121" s="1">
        <v>0.6338</v>
      </c>
    </row>
    <row r="122">
      <c r="A122" s="1" t="s">
        <v>45</v>
      </c>
      <c r="B122" s="1" t="s">
        <v>73</v>
      </c>
      <c r="C122" s="1">
        <v>49.0</v>
      </c>
      <c r="D122" s="1">
        <v>6.0</v>
      </c>
      <c r="E122" s="1">
        <v>6.0</v>
      </c>
      <c r="F122" s="1">
        <v>32.0</v>
      </c>
      <c r="G122" s="1">
        <v>5.0</v>
      </c>
      <c r="H122" s="1">
        <v>0.7755</v>
      </c>
      <c r="I122" s="1">
        <v>0.5</v>
      </c>
      <c r="J122" s="1">
        <v>0.5455</v>
      </c>
      <c r="K122" s="1">
        <v>0.5217</v>
      </c>
      <c r="L122" s="1">
        <v>0.5357</v>
      </c>
    </row>
    <row r="123">
      <c r="A123" s="1" t="s">
        <v>51</v>
      </c>
      <c r="B123" s="1" t="s">
        <v>73</v>
      </c>
      <c r="C123" s="1">
        <v>662.0</v>
      </c>
      <c r="D123" s="1">
        <v>92.0</v>
      </c>
      <c r="E123" s="1">
        <v>133.0</v>
      </c>
      <c r="F123" s="1">
        <v>398.0</v>
      </c>
      <c r="G123" s="1">
        <v>39.0</v>
      </c>
      <c r="H123" s="1">
        <v>0.7402</v>
      </c>
      <c r="I123" s="1">
        <v>0.4089</v>
      </c>
      <c r="J123" s="1">
        <v>0.7023</v>
      </c>
      <c r="K123" s="1">
        <v>0.5169</v>
      </c>
      <c r="L123" s="1">
        <v>0.6142</v>
      </c>
    </row>
    <row r="124">
      <c r="A124" s="1" t="s">
        <v>46</v>
      </c>
      <c r="B124" s="1" t="s">
        <v>73</v>
      </c>
      <c r="C124" s="1">
        <v>89.0</v>
      </c>
      <c r="D124" s="1">
        <v>5.0</v>
      </c>
      <c r="E124" s="1">
        <v>5.0</v>
      </c>
      <c r="F124" s="1">
        <v>79.0</v>
      </c>
      <c r="G124" s="1">
        <v>0.0</v>
      </c>
      <c r="H124" s="1">
        <v>0.9438</v>
      </c>
      <c r="I124" s="1">
        <v>0.5</v>
      </c>
      <c r="J124" s="1">
        <v>1.0</v>
      </c>
      <c r="K124" s="1">
        <v>0.6667</v>
      </c>
      <c r="L124" s="1">
        <v>0.8333</v>
      </c>
    </row>
    <row r="125">
      <c r="A125" s="1" t="s">
        <v>58</v>
      </c>
      <c r="B125" s="1" t="s">
        <v>73</v>
      </c>
      <c r="C125" s="1">
        <v>55.0</v>
      </c>
      <c r="D125" s="1">
        <v>3.0</v>
      </c>
      <c r="E125" s="1">
        <v>11.0</v>
      </c>
      <c r="F125" s="1">
        <v>40.0</v>
      </c>
      <c r="G125" s="1">
        <v>1.0</v>
      </c>
      <c r="H125" s="1">
        <v>0.7818</v>
      </c>
      <c r="I125" s="1">
        <v>0.2143</v>
      </c>
      <c r="J125" s="1">
        <v>0.75</v>
      </c>
      <c r="K125" s="1">
        <v>0.3333</v>
      </c>
      <c r="L125" s="1">
        <v>0.5</v>
      </c>
    </row>
    <row r="126">
      <c r="A126" s="1" t="s">
        <v>77</v>
      </c>
      <c r="B126" s="1" t="s">
        <v>73</v>
      </c>
      <c r="C126" s="1">
        <v>62.0</v>
      </c>
      <c r="D126" s="1">
        <v>9.0</v>
      </c>
      <c r="E126" s="1">
        <v>16.0</v>
      </c>
      <c r="F126" s="1">
        <v>33.0</v>
      </c>
      <c r="G126" s="1">
        <v>4.0</v>
      </c>
      <c r="H126" s="1">
        <v>0.6774</v>
      </c>
      <c r="I126" s="1">
        <v>0.36</v>
      </c>
      <c r="J126" s="1">
        <v>0.6923</v>
      </c>
      <c r="K126" s="1">
        <v>0.4737</v>
      </c>
      <c r="L126" s="1">
        <v>0.5844</v>
      </c>
    </row>
    <row r="127">
      <c r="A127" s="1" t="s">
        <v>43</v>
      </c>
      <c r="B127" s="1" t="s">
        <v>73</v>
      </c>
      <c r="C127" s="1">
        <v>194.0</v>
      </c>
      <c r="D127" s="1">
        <v>37.0</v>
      </c>
      <c r="E127" s="1">
        <v>38.0</v>
      </c>
      <c r="F127" s="1">
        <v>110.0</v>
      </c>
      <c r="G127" s="1">
        <v>9.0</v>
      </c>
      <c r="H127" s="1">
        <v>0.7577</v>
      </c>
      <c r="I127" s="1">
        <v>0.4933</v>
      </c>
      <c r="J127" s="1">
        <v>0.8043</v>
      </c>
      <c r="K127" s="1">
        <v>0.6116</v>
      </c>
      <c r="L127" s="1">
        <v>0.7143</v>
      </c>
    </row>
    <row r="128">
      <c r="A128" s="1" t="s">
        <v>54</v>
      </c>
      <c r="B128" s="1" t="s">
        <v>73</v>
      </c>
      <c r="C128" s="1">
        <v>26.0</v>
      </c>
      <c r="D128" s="1">
        <v>3.0</v>
      </c>
      <c r="E128" s="1">
        <v>5.0</v>
      </c>
      <c r="F128" s="1">
        <v>17.0</v>
      </c>
      <c r="G128" s="1">
        <v>1.0</v>
      </c>
      <c r="H128" s="1">
        <v>0.7692</v>
      </c>
      <c r="I128" s="1">
        <v>0.375</v>
      </c>
      <c r="J128" s="1">
        <v>0.75</v>
      </c>
      <c r="K128" s="1">
        <v>0.5</v>
      </c>
      <c r="L128" s="1">
        <v>0.625</v>
      </c>
    </row>
    <row r="129">
      <c r="A129" s="1" t="s">
        <v>78</v>
      </c>
      <c r="B129" s="1" t="s">
        <v>73</v>
      </c>
      <c r="C129" s="1">
        <v>23.0</v>
      </c>
      <c r="D129" s="1">
        <v>1.0</v>
      </c>
      <c r="E129" s="1">
        <v>8.0</v>
      </c>
      <c r="F129" s="1">
        <v>14.0</v>
      </c>
      <c r="G129" s="1">
        <v>0.0</v>
      </c>
      <c r="H129" s="1">
        <v>0.6522</v>
      </c>
      <c r="I129" s="1">
        <v>0.1111</v>
      </c>
      <c r="J129" s="1">
        <v>1.0</v>
      </c>
      <c r="K129" s="1">
        <v>0.2</v>
      </c>
      <c r="L129" s="1">
        <v>0.3846</v>
      </c>
    </row>
    <row r="130">
      <c r="A130" s="1" t="s">
        <v>44</v>
      </c>
      <c r="B130" s="1" t="s">
        <v>73</v>
      </c>
      <c r="C130" s="1">
        <v>65.0</v>
      </c>
      <c r="D130" s="1">
        <v>8.0</v>
      </c>
      <c r="E130" s="1">
        <v>8.0</v>
      </c>
      <c r="F130" s="1">
        <v>43.0</v>
      </c>
      <c r="G130" s="1">
        <v>6.0</v>
      </c>
      <c r="H130" s="1">
        <v>0.7846</v>
      </c>
      <c r="I130" s="1">
        <v>0.5</v>
      </c>
      <c r="J130" s="1">
        <v>0.5714</v>
      </c>
      <c r="K130" s="1">
        <v>0.5333</v>
      </c>
      <c r="L130" s="1">
        <v>0.5556</v>
      </c>
    </row>
    <row r="131">
      <c r="A131" s="1" t="s">
        <v>56</v>
      </c>
      <c r="B131" s="1" t="s">
        <v>73</v>
      </c>
      <c r="C131" s="1">
        <v>446.0</v>
      </c>
      <c r="D131" s="1">
        <v>38.0</v>
      </c>
      <c r="E131" s="1">
        <v>52.0</v>
      </c>
      <c r="F131" s="1">
        <v>346.0</v>
      </c>
      <c r="G131" s="1">
        <v>10.0</v>
      </c>
      <c r="H131" s="1">
        <v>0.861</v>
      </c>
      <c r="I131" s="1">
        <v>0.4222</v>
      </c>
      <c r="J131" s="1">
        <v>0.7917</v>
      </c>
      <c r="K131" s="1">
        <v>0.5507</v>
      </c>
      <c r="L131" s="1">
        <v>0.6738</v>
      </c>
    </row>
    <row r="132">
      <c r="A132" s="1" t="s">
        <v>49</v>
      </c>
      <c r="B132" s="1" t="s">
        <v>73</v>
      </c>
      <c r="C132" s="1">
        <v>95.0</v>
      </c>
      <c r="D132" s="1">
        <v>10.0</v>
      </c>
      <c r="E132" s="1">
        <v>15.0</v>
      </c>
      <c r="F132" s="1">
        <v>60.0</v>
      </c>
      <c r="G132" s="1">
        <v>10.0</v>
      </c>
      <c r="H132" s="1">
        <v>0.7368</v>
      </c>
      <c r="I132" s="1">
        <v>0.4</v>
      </c>
      <c r="J132" s="1">
        <v>0.5</v>
      </c>
      <c r="K132" s="1">
        <v>0.4444</v>
      </c>
      <c r="L132" s="1">
        <v>0.4762</v>
      </c>
    </row>
    <row r="133">
      <c r="A133" s="1" t="s">
        <v>52</v>
      </c>
      <c r="B133" s="1" t="s">
        <v>73</v>
      </c>
      <c r="C133" s="1">
        <v>587.0</v>
      </c>
      <c r="D133" s="1">
        <v>68.0</v>
      </c>
      <c r="E133" s="1">
        <v>116.0</v>
      </c>
      <c r="F133" s="1">
        <v>371.0</v>
      </c>
      <c r="G133" s="1">
        <v>32.0</v>
      </c>
      <c r="H133" s="1">
        <v>0.7479</v>
      </c>
      <c r="I133" s="1">
        <v>0.3696</v>
      </c>
      <c r="J133" s="1">
        <v>0.68</v>
      </c>
      <c r="K133" s="1">
        <v>0.4789</v>
      </c>
      <c r="L133" s="1">
        <v>0.5822</v>
      </c>
    </row>
    <row r="134">
      <c r="A134" s="1" t="s">
        <v>57</v>
      </c>
      <c r="B134" s="1" t="s">
        <v>73</v>
      </c>
      <c r="C134" s="1">
        <v>153.0</v>
      </c>
      <c r="D134" s="1">
        <v>14.0</v>
      </c>
      <c r="E134" s="1">
        <v>27.0</v>
      </c>
      <c r="F134" s="1">
        <v>101.0</v>
      </c>
      <c r="G134" s="1">
        <v>11.0</v>
      </c>
      <c r="H134" s="1">
        <v>0.7516</v>
      </c>
      <c r="I134" s="1">
        <v>0.3415</v>
      </c>
      <c r="J134" s="1">
        <v>0.56</v>
      </c>
      <c r="K134" s="1">
        <v>0.4242</v>
      </c>
      <c r="L134" s="1">
        <v>0.4965</v>
      </c>
    </row>
    <row r="135">
      <c r="A135" s="1" t="s">
        <v>42</v>
      </c>
      <c r="B135" s="1" t="s">
        <v>74</v>
      </c>
      <c r="C135" s="1">
        <v>16.0</v>
      </c>
      <c r="D135" s="1">
        <v>5.0</v>
      </c>
      <c r="E135" s="1">
        <v>3.0</v>
      </c>
      <c r="F135" s="1">
        <v>7.0</v>
      </c>
      <c r="G135" s="1">
        <v>1.0</v>
      </c>
      <c r="H135" s="1">
        <v>0.75</v>
      </c>
      <c r="I135" s="1">
        <v>0.625</v>
      </c>
      <c r="J135" s="1">
        <v>0.8333</v>
      </c>
      <c r="K135" s="1">
        <v>0.7143</v>
      </c>
      <c r="L135" s="1">
        <v>0.7812</v>
      </c>
    </row>
    <row r="136">
      <c r="A136" s="1" t="s">
        <v>53</v>
      </c>
      <c r="B136" s="1" t="s">
        <v>74</v>
      </c>
      <c r="C136" s="1">
        <v>897.0</v>
      </c>
      <c r="D136" s="1">
        <v>126.0</v>
      </c>
      <c r="E136" s="1">
        <v>166.0</v>
      </c>
      <c r="F136" s="1">
        <v>563.0</v>
      </c>
      <c r="G136" s="1">
        <v>42.0</v>
      </c>
      <c r="H136" s="1">
        <v>0.7681</v>
      </c>
      <c r="I136" s="1">
        <v>0.4315</v>
      </c>
      <c r="J136" s="1">
        <v>0.75</v>
      </c>
      <c r="K136" s="1">
        <v>0.5478</v>
      </c>
      <c r="L136" s="1">
        <v>0.6535</v>
      </c>
    </row>
    <row r="137">
      <c r="A137" s="1" t="s">
        <v>47</v>
      </c>
      <c r="B137" s="1" t="s">
        <v>74</v>
      </c>
      <c r="C137" s="1">
        <v>274.0</v>
      </c>
      <c r="D137" s="1">
        <v>32.0</v>
      </c>
      <c r="E137" s="1">
        <v>36.0</v>
      </c>
      <c r="F137" s="1">
        <v>188.0</v>
      </c>
      <c r="G137" s="1">
        <v>18.0</v>
      </c>
      <c r="H137" s="1">
        <v>0.8029</v>
      </c>
      <c r="I137" s="1">
        <v>0.4706</v>
      </c>
      <c r="J137" s="1">
        <v>0.64</v>
      </c>
      <c r="K137" s="1">
        <v>0.5424</v>
      </c>
      <c r="L137" s="1">
        <v>0.597</v>
      </c>
    </row>
    <row r="138">
      <c r="A138" s="1" t="s">
        <v>48</v>
      </c>
      <c r="B138" s="1" t="s">
        <v>74</v>
      </c>
      <c r="C138" s="1">
        <v>26.0</v>
      </c>
      <c r="D138" s="1">
        <v>1.0</v>
      </c>
      <c r="E138" s="1">
        <v>3.0</v>
      </c>
      <c r="F138" s="1">
        <v>18.0</v>
      </c>
      <c r="G138" s="1">
        <v>4.0</v>
      </c>
      <c r="H138" s="1">
        <v>0.7308</v>
      </c>
      <c r="I138" s="1">
        <v>0.25</v>
      </c>
      <c r="J138" s="1">
        <v>0.2</v>
      </c>
      <c r="K138" s="1">
        <v>0.2222</v>
      </c>
      <c r="L138" s="1">
        <v>0.2083</v>
      </c>
    </row>
    <row r="139">
      <c r="A139" s="1" t="s">
        <v>55</v>
      </c>
      <c r="B139" s="1" t="s">
        <v>74</v>
      </c>
      <c r="C139" s="1">
        <v>469.0</v>
      </c>
      <c r="D139" s="1">
        <v>31.0</v>
      </c>
      <c r="E139" s="1">
        <v>82.0</v>
      </c>
      <c r="F139" s="1">
        <v>343.0</v>
      </c>
      <c r="G139" s="1">
        <v>13.0</v>
      </c>
      <c r="H139" s="1">
        <v>0.7974</v>
      </c>
      <c r="I139" s="1">
        <v>0.2743</v>
      </c>
      <c r="J139" s="1">
        <v>0.7045</v>
      </c>
      <c r="K139" s="1">
        <v>0.3949</v>
      </c>
      <c r="L139" s="1">
        <v>0.5363</v>
      </c>
    </row>
    <row r="140">
      <c r="A140" s="1" t="s">
        <v>50</v>
      </c>
      <c r="B140" s="1" t="s">
        <v>74</v>
      </c>
      <c r="C140" s="1">
        <v>679.0</v>
      </c>
      <c r="D140" s="1">
        <v>64.0</v>
      </c>
      <c r="E140" s="1">
        <v>98.0</v>
      </c>
      <c r="F140" s="1">
        <v>488.0</v>
      </c>
      <c r="G140" s="1">
        <v>29.0</v>
      </c>
      <c r="H140" s="1">
        <v>0.813</v>
      </c>
      <c r="I140" s="1">
        <v>0.3951</v>
      </c>
      <c r="J140" s="1">
        <v>0.6882</v>
      </c>
      <c r="K140" s="1">
        <v>0.502</v>
      </c>
      <c r="L140" s="1">
        <v>0.5993</v>
      </c>
    </row>
    <row r="141">
      <c r="A141" s="1" t="s">
        <v>45</v>
      </c>
      <c r="B141" s="1" t="s">
        <v>74</v>
      </c>
      <c r="C141" s="1">
        <v>49.0</v>
      </c>
      <c r="D141" s="1">
        <v>6.0</v>
      </c>
      <c r="E141" s="1">
        <v>5.0</v>
      </c>
      <c r="F141" s="1">
        <v>33.0</v>
      </c>
      <c r="G141" s="1">
        <v>5.0</v>
      </c>
      <c r="H141" s="1">
        <v>0.7959</v>
      </c>
      <c r="I141" s="1">
        <v>0.5455</v>
      </c>
      <c r="J141" s="1">
        <v>0.5455</v>
      </c>
      <c r="K141" s="1">
        <v>0.5455</v>
      </c>
      <c r="L141" s="1">
        <v>0.5455</v>
      </c>
    </row>
    <row r="142">
      <c r="A142" s="1" t="s">
        <v>51</v>
      </c>
      <c r="B142" s="1" t="s">
        <v>74</v>
      </c>
      <c r="C142" s="1">
        <v>662.0</v>
      </c>
      <c r="D142" s="1">
        <v>89.0</v>
      </c>
      <c r="E142" s="1">
        <v>113.0</v>
      </c>
      <c r="F142" s="1">
        <v>418.0</v>
      </c>
      <c r="G142" s="1">
        <v>42.0</v>
      </c>
      <c r="H142" s="1">
        <v>0.7659</v>
      </c>
      <c r="I142" s="1">
        <v>0.4406</v>
      </c>
      <c r="J142" s="1">
        <v>0.6794</v>
      </c>
      <c r="K142" s="1">
        <v>0.5345</v>
      </c>
      <c r="L142" s="1">
        <v>0.6129</v>
      </c>
    </row>
    <row r="143">
      <c r="A143" s="1" t="s">
        <v>46</v>
      </c>
      <c r="B143" s="1" t="s">
        <v>74</v>
      </c>
      <c r="C143" s="1">
        <v>89.0</v>
      </c>
      <c r="D143" s="1">
        <v>5.0</v>
      </c>
      <c r="E143" s="1">
        <v>5.0</v>
      </c>
      <c r="F143" s="1">
        <v>79.0</v>
      </c>
      <c r="G143" s="1">
        <v>0.0</v>
      </c>
      <c r="H143" s="1">
        <v>0.9438</v>
      </c>
      <c r="I143" s="1">
        <v>0.5</v>
      </c>
      <c r="J143" s="1">
        <v>1.0</v>
      </c>
      <c r="K143" s="1">
        <v>0.6667</v>
      </c>
      <c r="L143" s="1">
        <v>0.8333</v>
      </c>
    </row>
    <row r="144">
      <c r="A144" s="1" t="s">
        <v>58</v>
      </c>
      <c r="B144" s="1" t="s">
        <v>74</v>
      </c>
      <c r="C144" s="1">
        <v>55.0</v>
      </c>
      <c r="D144" s="1">
        <v>2.0</v>
      </c>
      <c r="E144" s="1">
        <v>10.0</v>
      </c>
      <c r="F144" s="1">
        <v>41.0</v>
      </c>
      <c r="G144" s="1">
        <v>2.0</v>
      </c>
      <c r="H144" s="1">
        <v>0.7818</v>
      </c>
      <c r="I144" s="1">
        <v>0.1667</v>
      </c>
      <c r="J144" s="1">
        <v>0.5</v>
      </c>
      <c r="K144" s="1">
        <v>0.25</v>
      </c>
      <c r="L144" s="1">
        <v>0.3571</v>
      </c>
    </row>
    <row r="145">
      <c r="A145" s="1" t="s">
        <v>77</v>
      </c>
      <c r="B145" s="1" t="s">
        <v>74</v>
      </c>
      <c r="C145" s="1">
        <v>62.0</v>
      </c>
      <c r="D145" s="1">
        <v>9.0</v>
      </c>
      <c r="E145" s="1">
        <v>17.0</v>
      </c>
      <c r="F145" s="1">
        <v>32.0</v>
      </c>
      <c r="G145" s="1">
        <v>4.0</v>
      </c>
      <c r="H145" s="1">
        <v>0.6613</v>
      </c>
      <c r="I145" s="1">
        <v>0.3462</v>
      </c>
      <c r="J145" s="1">
        <v>0.6923</v>
      </c>
      <c r="K145" s="1">
        <v>0.4615</v>
      </c>
      <c r="L145" s="1">
        <v>0.5769</v>
      </c>
    </row>
    <row r="146">
      <c r="A146" s="1" t="s">
        <v>43</v>
      </c>
      <c r="B146" s="1" t="s">
        <v>74</v>
      </c>
      <c r="C146" s="1">
        <v>194.0</v>
      </c>
      <c r="D146" s="1">
        <v>36.0</v>
      </c>
      <c r="E146" s="1">
        <v>33.0</v>
      </c>
      <c r="F146" s="1">
        <v>115.0</v>
      </c>
      <c r="G146" s="1">
        <v>10.0</v>
      </c>
      <c r="H146" s="1">
        <v>0.7784</v>
      </c>
      <c r="I146" s="1">
        <v>0.5217</v>
      </c>
      <c r="J146" s="1">
        <v>0.7826</v>
      </c>
      <c r="K146" s="1">
        <v>0.6261</v>
      </c>
      <c r="L146" s="1">
        <v>0.7115</v>
      </c>
    </row>
    <row r="147">
      <c r="A147" s="1" t="s">
        <v>54</v>
      </c>
      <c r="B147" s="1" t="s">
        <v>74</v>
      </c>
      <c r="C147" s="1">
        <v>26.0</v>
      </c>
      <c r="D147" s="1">
        <v>2.0</v>
      </c>
      <c r="E147" s="1">
        <v>5.0</v>
      </c>
      <c r="F147" s="1">
        <v>17.0</v>
      </c>
      <c r="G147" s="1">
        <v>2.0</v>
      </c>
      <c r="H147" s="1">
        <v>0.7308</v>
      </c>
      <c r="I147" s="1">
        <v>0.2857</v>
      </c>
      <c r="J147" s="1">
        <v>0.5</v>
      </c>
      <c r="K147" s="1">
        <v>0.3636</v>
      </c>
      <c r="L147" s="1">
        <v>0.4348</v>
      </c>
    </row>
    <row r="148">
      <c r="A148" s="1" t="s">
        <v>78</v>
      </c>
      <c r="B148" s="1" t="s">
        <v>74</v>
      </c>
      <c r="C148" s="1">
        <v>23.0</v>
      </c>
      <c r="D148" s="1">
        <v>1.0</v>
      </c>
      <c r="E148" s="1">
        <v>8.0</v>
      </c>
      <c r="F148" s="1">
        <v>14.0</v>
      </c>
      <c r="G148" s="1">
        <v>0.0</v>
      </c>
      <c r="H148" s="1">
        <v>0.6522</v>
      </c>
      <c r="I148" s="1">
        <v>0.1111</v>
      </c>
      <c r="J148" s="1">
        <v>1.0</v>
      </c>
      <c r="K148" s="1">
        <v>0.2</v>
      </c>
      <c r="L148" s="1">
        <v>0.3846</v>
      </c>
    </row>
    <row r="149">
      <c r="A149" s="1" t="s">
        <v>44</v>
      </c>
      <c r="B149" s="1" t="s">
        <v>74</v>
      </c>
      <c r="C149" s="1">
        <v>65.0</v>
      </c>
      <c r="D149" s="1">
        <v>7.0</v>
      </c>
      <c r="E149" s="1">
        <v>8.0</v>
      </c>
      <c r="F149" s="1">
        <v>43.0</v>
      </c>
      <c r="G149" s="1">
        <v>7.0</v>
      </c>
      <c r="H149" s="1">
        <v>0.7692</v>
      </c>
      <c r="I149" s="1">
        <v>0.4667</v>
      </c>
      <c r="J149" s="1">
        <v>0.5</v>
      </c>
      <c r="K149" s="1">
        <v>0.4828</v>
      </c>
      <c r="L149" s="1">
        <v>0.493</v>
      </c>
    </row>
    <row r="150">
      <c r="A150" s="1" t="s">
        <v>56</v>
      </c>
      <c r="B150" s="1" t="s">
        <v>74</v>
      </c>
      <c r="C150" s="1">
        <v>446.0</v>
      </c>
      <c r="D150" s="1">
        <v>35.0</v>
      </c>
      <c r="E150" s="1">
        <v>39.0</v>
      </c>
      <c r="F150" s="1">
        <v>359.0</v>
      </c>
      <c r="G150" s="1">
        <v>13.0</v>
      </c>
      <c r="H150" s="1">
        <v>0.8834</v>
      </c>
      <c r="I150" s="1">
        <v>0.473</v>
      </c>
      <c r="J150" s="1">
        <v>0.7292</v>
      </c>
      <c r="K150" s="1">
        <v>0.5738</v>
      </c>
      <c r="L150" s="1">
        <v>0.6579</v>
      </c>
    </row>
    <row r="151">
      <c r="A151" s="1" t="s">
        <v>49</v>
      </c>
      <c r="B151" s="1" t="s">
        <v>74</v>
      </c>
      <c r="C151" s="1">
        <v>95.0</v>
      </c>
      <c r="D151" s="1">
        <v>9.0</v>
      </c>
      <c r="E151" s="1">
        <v>12.0</v>
      </c>
      <c r="F151" s="1">
        <v>63.0</v>
      </c>
      <c r="G151" s="1">
        <v>11.0</v>
      </c>
      <c r="H151" s="1">
        <v>0.7579</v>
      </c>
      <c r="I151" s="1">
        <v>0.4286</v>
      </c>
      <c r="J151" s="1">
        <v>0.45</v>
      </c>
      <c r="K151" s="1">
        <v>0.439</v>
      </c>
      <c r="L151" s="1">
        <v>0.4455</v>
      </c>
    </row>
    <row r="152">
      <c r="A152" s="1" t="s">
        <v>52</v>
      </c>
      <c r="B152" s="1" t="s">
        <v>74</v>
      </c>
      <c r="C152" s="1">
        <v>587.0</v>
      </c>
      <c r="D152" s="1">
        <v>64.0</v>
      </c>
      <c r="E152" s="1">
        <v>99.0</v>
      </c>
      <c r="F152" s="1">
        <v>388.0</v>
      </c>
      <c r="G152" s="1">
        <v>36.0</v>
      </c>
      <c r="H152" s="1">
        <v>0.77</v>
      </c>
      <c r="I152" s="1">
        <v>0.3926</v>
      </c>
      <c r="J152" s="1">
        <v>0.64</v>
      </c>
      <c r="K152" s="1">
        <v>0.4867</v>
      </c>
      <c r="L152" s="1">
        <v>0.5684</v>
      </c>
    </row>
    <row r="153">
      <c r="A153" s="1" t="s">
        <v>57</v>
      </c>
      <c r="B153" s="1" t="s">
        <v>74</v>
      </c>
      <c r="C153" s="1">
        <v>153.0</v>
      </c>
      <c r="D153" s="1">
        <v>16.0</v>
      </c>
      <c r="E153" s="1">
        <v>26.0</v>
      </c>
      <c r="F153" s="1">
        <v>102.0</v>
      </c>
      <c r="G153" s="1">
        <v>9.0</v>
      </c>
      <c r="H153" s="1">
        <v>0.7712</v>
      </c>
      <c r="I153" s="1">
        <v>0.381</v>
      </c>
      <c r="J153" s="1">
        <v>0.64</v>
      </c>
      <c r="K153" s="1">
        <v>0.4776</v>
      </c>
      <c r="L153" s="1">
        <v>0.5634</v>
      </c>
    </row>
    <row r="154">
      <c r="A154" s="1" t="s">
        <v>42</v>
      </c>
      <c r="B154" s="1" t="s">
        <v>75</v>
      </c>
      <c r="C154" s="1">
        <v>16.0</v>
      </c>
      <c r="D154" s="1">
        <v>5.0</v>
      </c>
      <c r="E154" s="1">
        <v>5.0</v>
      </c>
      <c r="F154" s="1">
        <v>5.0</v>
      </c>
      <c r="G154" s="1">
        <v>1.0</v>
      </c>
      <c r="H154" s="1">
        <v>0.625</v>
      </c>
      <c r="I154" s="1">
        <v>0.5</v>
      </c>
      <c r="J154" s="1">
        <v>0.8333</v>
      </c>
      <c r="K154" s="1">
        <v>0.625</v>
      </c>
      <c r="L154" s="1">
        <v>0.7353</v>
      </c>
    </row>
    <row r="155">
      <c r="A155" s="1" t="s">
        <v>53</v>
      </c>
      <c r="B155" s="1" t="s">
        <v>75</v>
      </c>
      <c r="C155" s="1">
        <v>897.0</v>
      </c>
      <c r="D155" s="1">
        <v>140.0</v>
      </c>
      <c r="E155" s="1">
        <v>254.0</v>
      </c>
      <c r="F155" s="1">
        <v>475.0</v>
      </c>
      <c r="G155" s="1">
        <v>28.0</v>
      </c>
      <c r="H155" s="1">
        <v>0.6856</v>
      </c>
      <c r="I155" s="1">
        <v>0.3553</v>
      </c>
      <c r="J155" s="1">
        <v>0.8333</v>
      </c>
      <c r="K155" s="1">
        <v>0.4982</v>
      </c>
      <c r="L155" s="1">
        <v>0.6567</v>
      </c>
    </row>
    <row r="156">
      <c r="A156" s="1" t="s">
        <v>47</v>
      </c>
      <c r="B156" s="1" t="s">
        <v>75</v>
      </c>
      <c r="C156" s="1">
        <v>274.0</v>
      </c>
      <c r="D156" s="1">
        <v>35.0</v>
      </c>
      <c r="E156" s="1">
        <v>55.0</v>
      </c>
      <c r="F156" s="1">
        <v>169.0</v>
      </c>
      <c r="G156" s="1">
        <v>15.0</v>
      </c>
      <c r="H156" s="1">
        <v>0.7445</v>
      </c>
      <c r="I156" s="1">
        <v>0.3889</v>
      </c>
      <c r="J156" s="1">
        <v>0.7</v>
      </c>
      <c r="K156" s="1">
        <v>0.5</v>
      </c>
      <c r="L156" s="1">
        <v>0.6034</v>
      </c>
    </row>
    <row r="157">
      <c r="A157" s="1" t="s">
        <v>48</v>
      </c>
      <c r="B157" s="1" t="s">
        <v>75</v>
      </c>
      <c r="C157" s="1">
        <v>26.0</v>
      </c>
      <c r="D157" s="1">
        <v>4.0</v>
      </c>
      <c r="E157" s="1">
        <v>5.0</v>
      </c>
      <c r="F157" s="1">
        <v>16.0</v>
      </c>
      <c r="G157" s="1">
        <v>1.0</v>
      </c>
      <c r="H157" s="1">
        <v>0.7692</v>
      </c>
      <c r="I157" s="1">
        <v>0.4444</v>
      </c>
      <c r="J157" s="1">
        <v>0.8</v>
      </c>
      <c r="K157" s="1">
        <v>0.5714</v>
      </c>
      <c r="L157" s="1">
        <v>0.6897</v>
      </c>
    </row>
    <row r="158">
      <c r="A158" s="1" t="s">
        <v>55</v>
      </c>
      <c r="B158" s="1" t="s">
        <v>75</v>
      </c>
      <c r="C158" s="1">
        <v>469.0</v>
      </c>
      <c r="D158" s="1">
        <v>41.0</v>
      </c>
      <c r="E158" s="1">
        <v>151.0</v>
      </c>
      <c r="F158" s="1">
        <v>274.0</v>
      </c>
      <c r="G158" s="1">
        <v>3.0</v>
      </c>
      <c r="H158" s="1">
        <v>0.6716</v>
      </c>
      <c r="I158" s="1">
        <v>0.2135</v>
      </c>
      <c r="J158" s="1">
        <v>0.9318</v>
      </c>
      <c r="K158" s="1">
        <v>0.3475</v>
      </c>
      <c r="L158" s="1">
        <v>0.5571</v>
      </c>
    </row>
    <row r="159">
      <c r="A159" s="1" t="s">
        <v>50</v>
      </c>
      <c r="B159" s="1" t="s">
        <v>75</v>
      </c>
      <c r="C159" s="1">
        <v>679.0</v>
      </c>
      <c r="D159" s="1">
        <v>75.0</v>
      </c>
      <c r="E159" s="1">
        <v>205.0</v>
      </c>
      <c r="F159" s="1">
        <v>381.0</v>
      </c>
      <c r="G159" s="1">
        <v>18.0</v>
      </c>
      <c r="H159" s="1">
        <v>0.6716</v>
      </c>
      <c r="I159" s="1">
        <v>0.2679</v>
      </c>
      <c r="J159" s="1">
        <v>0.8065</v>
      </c>
      <c r="K159" s="1">
        <v>0.4021</v>
      </c>
      <c r="L159" s="1">
        <v>0.5752</v>
      </c>
    </row>
    <row r="160">
      <c r="A160" s="1" t="s">
        <v>45</v>
      </c>
      <c r="B160" s="1" t="s">
        <v>75</v>
      </c>
      <c r="C160" s="1">
        <v>49.0</v>
      </c>
      <c r="D160" s="1">
        <v>7.0</v>
      </c>
      <c r="E160" s="1">
        <v>12.0</v>
      </c>
      <c r="F160" s="1">
        <v>26.0</v>
      </c>
      <c r="G160" s="1">
        <v>4.0</v>
      </c>
      <c r="H160" s="1">
        <v>0.6735</v>
      </c>
      <c r="I160" s="1">
        <v>0.3684</v>
      </c>
      <c r="J160" s="1">
        <v>0.6364</v>
      </c>
      <c r="K160" s="1">
        <v>0.4667</v>
      </c>
      <c r="L160" s="1">
        <v>0.5556</v>
      </c>
    </row>
    <row r="161">
      <c r="A161" s="1" t="s">
        <v>51</v>
      </c>
      <c r="B161" s="1" t="s">
        <v>75</v>
      </c>
      <c r="C161" s="1">
        <v>662.0</v>
      </c>
      <c r="D161" s="1">
        <v>99.0</v>
      </c>
      <c r="E161" s="1">
        <v>162.0</v>
      </c>
      <c r="F161" s="1">
        <v>369.0</v>
      </c>
      <c r="G161" s="1">
        <v>32.0</v>
      </c>
      <c r="H161" s="1">
        <v>0.7069</v>
      </c>
      <c r="I161" s="1">
        <v>0.3793</v>
      </c>
      <c r="J161" s="1">
        <v>0.7557</v>
      </c>
      <c r="K161" s="1">
        <v>0.5051</v>
      </c>
      <c r="L161" s="1">
        <v>0.6306</v>
      </c>
    </row>
    <row r="162">
      <c r="A162" s="1" t="s">
        <v>46</v>
      </c>
      <c r="B162" s="1" t="s">
        <v>75</v>
      </c>
      <c r="C162" s="1">
        <v>89.0</v>
      </c>
      <c r="D162" s="1">
        <v>4.0</v>
      </c>
      <c r="E162" s="1">
        <v>8.0</v>
      </c>
      <c r="F162" s="1">
        <v>76.0</v>
      </c>
      <c r="G162" s="1">
        <v>1.0</v>
      </c>
      <c r="H162" s="1">
        <v>0.8989</v>
      </c>
      <c r="I162" s="1">
        <v>0.3333</v>
      </c>
      <c r="J162" s="1">
        <v>0.8</v>
      </c>
      <c r="K162" s="1">
        <v>0.4706</v>
      </c>
      <c r="L162" s="1">
        <v>0.625</v>
      </c>
    </row>
    <row r="163">
      <c r="A163" s="1" t="s">
        <v>58</v>
      </c>
      <c r="B163" s="1" t="s">
        <v>75</v>
      </c>
      <c r="C163" s="1">
        <v>55.0</v>
      </c>
      <c r="D163" s="1">
        <v>3.0</v>
      </c>
      <c r="E163" s="1">
        <v>22.0</v>
      </c>
      <c r="F163" s="1">
        <v>29.0</v>
      </c>
      <c r="G163" s="1">
        <v>1.0</v>
      </c>
      <c r="H163" s="1">
        <v>0.5818</v>
      </c>
      <c r="I163" s="1">
        <v>0.12</v>
      </c>
      <c r="J163" s="1">
        <v>0.75</v>
      </c>
      <c r="K163" s="1">
        <v>0.2069</v>
      </c>
      <c r="L163" s="1">
        <v>0.3659</v>
      </c>
    </row>
    <row r="164">
      <c r="A164" s="1" t="s">
        <v>77</v>
      </c>
      <c r="B164" s="1" t="s">
        <v>75</v>
      </c>
      <c r="C164" s="1">
        <v>62.0</v>
      </c>
      <c r="D164" s="1">
        <v>11.0</v>
      </c>
      <c r="E164" s="1">
        <v>22.0</v>
      </c>
      <c r="F164" s="1">
        <v>27.0</v>
      </c>
      <c r="G164" s="1">
        <v>2.0</v>
      </c>
      <c r="H164" s="1">
        <v>0.6129</v>
      </c>
      <c r="I164" s="1">
        <v>0.3333</v>
      </c>
      <c r="J164" s="1">
        <v>0.8462</v>
      </c>
      <c r="K164" s="1">
        <v>0.4783</v>
      </c>
      <c r="L164" s="1">
        <v>0.6471</v>
      </c>
    </row>
    <row r="165">
      <c r="A165" s="1" t="s">
        <v>43</v>
      </c>
      <c r="B165" s="1" t="s">
        <v>75</v>
      </c>
      <c r="C165" s="1">
        <v>194.0</v>
      </c>
      <c r="D165" s="1">
        <v>37.0</v>
      </c>
      <c r="E165" s="1">
        <v>50.0</v>
      </c>
      <c r="F165" s="1">
        <v>98.0</v>
      </c>
      <c r="G165" s="1">
        <v>9.0</v>
      </c>
      <c r="H165" s="1">
        <v>0.6959</v>
      </c>
      <c r="I165" s="1">
        <v>0.4253</v>
      </c>
      <c r="J165" s="1">
        <v>0.8043</v>
      </c>
      <c r="K165" s="1">
        <v>0.5564</v>
      </c>
      <c r="L165" s="1">
        <v>0.6827</v>
      </c>
    </row>
    <row r="166">
      <c r="A166" s="1" t="s">
        <v>54</v>
      </c>
      <c r="B166" s="1" t="s">
        <v>75</v>
      </c>
      <c r="C166" s="1">
        <v>26.0</v>
      </c>
      <c r="D166" s="1">
        <v>3.0</v>
      </c>
      <c r="E166" s="1">
        <v>10.0</v>
      </c>
      <c r="F166" s="1">
        <v>12.0</v>
      </c>
      <c r="G166" s="1">
        <v>1.0</v>
      </c>
      <c r="H166" s="1">
        <v>0.5769</v>
      </c>
      <c r="I166" s="1">
        <v>0.2308</v>
      </c>
      <c r="J166" s="1">
        <v>0.75</v>
      </c>
      <c r="K166" s="1">
        <v>0.3529</v>
      </c>
      <c r="L166" s="1">
        <v>0.5172</v>
      </c>
    </row>
    <row r="167">
      <c r="A167" s="1" t="s">
        <v>78</v>
      </c>
      <c r="B167" s="1" t="s">
        <v>75</v>
      </c>
      <c r="C167" s="1">
        <v>23.0</v>
      </c>
      <c r="D167" s="1">
        <v>1.0</v>
      </c>
      <c r="E167" s="1">
        <v>9.0</v>
      </c>
      <c r="F167" s="1">
        <v>13.0</v>
      </c>
      <c r="G167" s="1">
        <v>0.0</v>
      </c>
      <c r="H167" s="1">
        <v>0.6087</v>
      </c>
      <c r="I167" s="1">
        <v>0.1</v>
      </c>
      <c r="J167" s="1">
        <v>1.0</v>
      </c>
      <c r="K167" s="1">
        <v>0.1818</v>
      </c>
      <c r="L167" s="1">
        <v>0.3571</v>
      </c>
    </row>
    <row r="168">
      <c r="A168" s="1" t="s">
        <v>44</v>
      </c>
      <c r="B168" s="1" t="s">
        <v>75</v>
      </c>
      <c r="C168" s="1">
        <v>65.0</v>
      </c>
      <c r="D168" s="1">
        <v>9.0</v>
      </c>
      <c r="E168" s="1">
        <v>15.0</v>
      </c>
      <c r="F168" s="1">
        <v>36.0</v>
      </c>
      <c r="G168" s="1">
        <v>5.0</v>
      </c>
      <c r="H168" s="1">
        <v>0.6923</v>
      </c>
      <c r="I168" s="1">
        <v>0.375</v>
      </c>
      <c r="J168" s="1">
        <v>0.6429</v>
      </c>
      <c r="K168" s="1">
        <v>0.4737</v>
      </c>
      <c r="L168" s="1">
        <v>0.5625</v>
      </c>
    </row>
    <row r="169">
      <c r="A169" s="1" t="s">
        <v>56</v>
      </c>
      <c r="B169" s="1" t="s">
        <v>75</v>
      </c>
      <c r="C169" s="1">
        <v>446.0</v>
      </c>
      <c r="D169" s="1">
        <v>40.0</v>
      </c>
      <c r="E169" s="1">
        <v>90.0</v>
      </c>
      <c r="F169" s="1">
        <v>308.0</v>
      </c>
      <c r="G169" s="1">
        <v>8.0</v>
      </c>
      <c r="H169" s="1">
        <v>0.7803</v>
      </c>
      <c r="I169" s="1">
        <v>0.3077</v>
      </c>
      <c r="J169" s="1">
        <v>0.8333</v>
      </c>
      <c r="K169" s="1">
        <v>0.4494</v>
      </c>
      <c r="L169" s="1">
        <v>0.6211</v>
      </c>
    </row>
    <row r="170">
      <c r="A170" s="1" t="s">
        <v>49</v>
      </c>
      <c r="B170" s="1" t="s">
        <v>75</v>
      </c>
      <c r="C170" s="1">
        <v>95.0</v>
      </c>
      <c r="D170" s="1">
        <v>13.0</v>
      </c>
      <c r="E170" s="1">
        <v>17.0</v>
      </c>
      <c r="F170" s="1">
        <v>58.0</v>
      </c>
      <c r="G170" s="1">
        <v>7.0</v>
      </c>
      <c r="H170" s="1">
        <v>0.7474</v>
      </c>
      <c r="I170" s="1">
        <v>0.4333</v>
      </c>
      <c r="J170" s="1">
        <v>0.65</v>
      </c>
      <c r="K170" s="1">
        <v>0.52</v>
      </c>
      <c r="L170" s="1">
        <v>0.5909</v>
      </c>
    </row>
    <row r="171">
      <c r="A171" s="1" t="s">
        <v>52</v>
      </c>
      <c r="B171" s="1" t="s">
        <v>75</v>
      </c>
      <c r="C171" s="1">
        <v>587.0</v>
      </c>
      <c r="D171" s="1">
        <v>75.0</v>
      </c>
      <c r="E171" s="1">
        <v>153.0</v>
      </c>
      <c r="F171" s="1">
        <v>334.0</v>
      </c>
      <c r="G171" s="1">
        <v>25.0</v>
      </c>
      <c r="H171" s="1">
        <v>0.6968</v>
      </c>
      <c r="I171" s="1">
        <v>0.3289</v>
      </c>
      <c r="J171" s="1">
        <v>0.75</v>
      </c>
      <c r="K171" s="1">
        <v>0.4573</v>
      </c>
      <c r="L171" s="1">
        <v>0.5971</v>
      </c>
    </row>
    <row r="172">
      <c r="A172" s="1" t="s">
        <v>57</v>
      </c>
      <c r="B172" s="1" t="s">
        <v>75</v>
      </c>
      <c r="C172" s="1">
        <v>153.0</v>
      </c>
      <c r="D172" s="1">
        <v>17.0</v>
      </c>
      <c r="E172" s="1">
        <v>44.0</v>
      </c>
      <c r="F172" s="1">
        <v>84.0</v>
      </c>
      <c r="G172" s="1">
        <v>8.0</v>
      </c>
      <c r="H172" s="1">
        <v>0.6601</v>
      </c>
      <c r="I172" s="1">
        <v>0.2787</v>
      </c>
      <c r="J172" s="1">
        <v>0.68</v>
      </c>
      <c r="K172" s="1">
        <v>0.3953</v>
      </c>
      <c r="L172" s="1">
        <v>0.528</v>
      </c>
    </row>
    <row r="173">
      <c r="A173" s="1" t="s">
        <v>42</v>
      </c>
      <c r="B173" s="1" t="s">
        <v>76</v>
      </c>
      <c r="C173" s="1">
        <v>16.0</v>
      </c>
      <c r="D173" s="1">
        <v>4.0</v>
      </c>
      <c r="E173" s="1">
        <v>4.0</v>
      </c>
      <c r="F173" s="1">
        <v>6.0</v>
      </c>
      <c r="G173" s="1">
        <v>2.0</v>
      </c>
      <c r="H173" s="1">
        <v>0.625</v>
      </c>
      <c r="I173" s="1">
        <v>0.5</v>
      </c>
      <c r="J173" s="1">
        <v>0.6667</v>
      </c>
      <c r="K173" s="1">
        <v>0.5714</v>
      </c>
      <c r="L173" s="1">
        <v>0.625</v>
      </c>
    </row>
    <row r="174">
      <c r="A174" s="1" t="s">
        <v>53</v>
      </c>
      <c r="B174" s="1" t="s">
        <v>76</v>
      </c>
      <c r="C174" s="1">
        <v>897.0</v>
      </c>
      <c r="D174" s="1">
        <v>117.0</v>
      </c>
      <c r="E174" s="1">
        <v>175.0</v>
      </c>
      <c r="F174" s="1">
        <v>554.0</v>
      </c>
      <c r="G174" s="1">
        <v>51.0</v>
      </c>
      <c r="H174" s="1">
        <v>0.748</v>
      </c>
      <c r="I174" s="1">
        <v>0.4007</v>
      </c>
      <c r="J174" s="1">
        <v>0.6964</v>
      </c>
      <c r="K174" s="1">
        <v>0.5087</v>
      </c>
      <c r="L174" s="1">
        <v>0.6068</v>
      </c>
    </row>
    <row r="175">
      <c r="A175" s="1" t="s">
        <v>47</v>
      </c>
      <c r="B175" s="1" t="s">
        <v>76</v>
      </c>
      <c r="C175" s="1">
        <v>274.0</v>
      </c>
      <c r="D175" s="1">
        <v>29.0</v>
      </c>
      <c r="E175" s="1">
        <v>33.0</v>
      </c>
      <c r="F175" s="1">
        <v>191.0</v>
      </c>
      <c r="G175" s="1">
        <v>21.0</v>
      </c>
      <c r="H175" s="1">
        <v>0.8029</v>
      </c>
      <c r="I175" s="1">
        <v>0.4677</v>
      </c>
      <c r="J175" s="1">
        <v>0.58</v>
      </c>
      <c r="K175" s="1">
        <v>0.5179</v>
      </c>
      <c r="L175" s="1">
        <v>0.5534</v>
      </c>
    </row>
    <row r="176">
      <c r="A176" s="1" t="s">
        <v>48</v>
      </c>
      <c r="B176" s="1" t="s">
        <v>76</v>
      </c>
      <c r="C176" s="1">
        <v>26.0</v>
      </c>
      <c r="D176" s="1">
        <v>2.0</v>
      </c>
      <c r="E176" s="1">
        <v>5.0</v>
      </c>
      <c r="F176" s="1">
        <v>16.0</v>
      </c>
      <c r="G176" s="1">
        <v>3.0</v>
      </c>
      <c r="H176" s="1">
        <v>0.6923</v>
      </c>
      <c r="I176" s="1">
        <v>0.2857</v>
      </c>
      <c r="J176" s="1">
        <v>0.4</v>
      </c>
      <c r="K176" s="1">
        <v>0.3333</v>
      </c>
      <c r="L176" s="1">
        <v>0.3704</v>
      </c>
    </row>
    <row r="177">
      <c r="A177" s="1" t="s">
        <v>55</v>
      </c>
      <c r="B177" s="1" t="s">
        <v>76</v>
      </c>
      <c r="C177" s="1">
        <v>469.0</v>
      </c>
      <c r="D177" s="1">
        <v>25.0</v>
      </c>
      <c r="E177" s="1">
        <v>77.0</v>
      </c>
      <c r="F177" s="1">
        <v>348.0</v>
      </c>
      <c r="G177" s="1">
        <v>19.0</v>
      </c>
      <c r="H177" s="1">
        <v>0.7953</v>
      </c>
      <c r="I177" s="1">
        <v>0.2451</v>
      </c>
      <c r="J177" s="1">
        <v>0.5682</v>
      </c>
      <c r="K177" s="1">
        <v>0.3425</v>
      </c>
      <c r="L177" s="1">
        <v>0.4496</v>
      </c>
    </row>
    <row r="178">
      <c r="A178" s="1" t="s">
        <v>50</v>
      </c>
      <c r="B178" s="1" t="s">
        <v>76</v>
      </c>
      <c r="C178" s="1">
        <v>679.0</v>
      </c>
      <c r="D178" s="1">
        <v>67.0</v>
      </c>
      <c r="E178" s="1">
        <v>136.0</v>
      </c>
      <c r="F178" s="1">
        <v>450.0</v>
      </c>
      <c r="G178" s="1">
        <v>26.0</v>
      </c>
      <c r="H178" s="1">
        <v>0.7614</v>
      </c>
      <c r="I178" s="1">
        <v>0.33</v>
      </c>
      <c r="J178" s="1">
        <v>0.7204</v>
      </c>
      <c r="K178" s="1">
        <v>0.4527</v>
      </c>
      <c r="L178" s="1">
        <v>0.5826</v>
      </c>
    </row>
    <row r="179">
      <c r="A179" s="1" t="s">
        <v>45</v>
      </c>
      <c r="B179" s="1" t="s">
        <v>76</v>
      </c>
      <c r="C179" s="1">
        <v>49.0</v>
      </c>
      <c r="D179" s="1">
        <v>5.0</v>
      </c>
      <c r="E179" s="1">
        <v>4.0</v>
      </c>
      <c r="F179" s="1">
        <v>34.0</v>
      </c>
      <c r="G179" s="1">
        <v>6.0</v>
      </c>
      <c r="H179" s="1">
        <v>0.7959</v>
      </c>
      <c r="I179" s="1">
        <v>0.5556</v>
      </c>
      <c r="J179" s="1">
        <v>0.4545</v>
      </c>
      <c r="K179" s="1">
        <v>0.5</v>
      </c>
      <c r="L179" s="1">
        <v>0.4717</v>
      </c>
    </row>
    <row r="180">
      <c r="A180" s="1" t="s">
        <v>51</v>
      </c>
      <c r="B180" s="1" t="s">
        <v>76</v>
      </c>
      <c r="C180" s="1">
        <v>662.0</v>
      </c>
      <c r="D180" s="1">
        <v>76.0</v>
      </c>
      <c r="E180" s="1">
        <v>99.0</v>
      </c>
      <c r="F180" s="1">
        <v>432.0</v>
      </c>
      <c r="G180" s="1">
        <v>55.0</v>
      </c>
      <c r="H180" s="1">
        <v>0.7674</v>
      </c>
      <c r="I180" s="1">
        <v>0.4343</v>
      </c>
      <c r="J180" s="1">
        <v>0.5802</v>
      </c>
      <c r="K180" s="1">
        <v>0.4967</v>
      </c>
      <c r="L180" s="1">
        <v>0.5436</v>
      </c>
    </row>
    <row r="181">
      <c r="A181" s="1" t="s">
        <v>46</v>
      </c>
      <c r="B181" s="1" t="s">
        <v>76</v>
      </c>
      <c r="C181" s="1">
        <v>89.0</v>
      </c>
      <c r="D181" s="1">
        <v>1.0</v>
      </c>
      <c r="E181" s="1">
        <v>1.0</v>
      </c>
      <c r="F181" s="1">
        <v>83.0</v>
      </c>
      <c r="G181" s="1">
        <v>4.0</v>
      </c>
      <c r="H181" s="1">
        <v>0.9438</v>
      </c>
      <c r="I181" s="1">
        <v>0.5</v>
      </c>
      <c r="J181" s="1">
        <v>0.2</v>
      </c>
      <c r="K181" s="1">
        <v>0.2857</v>
      </c>
      <c r="L181" s="1">
        <v>0.2273</v>
      </c>
    </row>
    <row r="182">
      <c r="A182" s="1" t="s">
        <v>58</v>
      </c>
      <c r="B182" s="1" t="s">
        <v>76</v>
      </c>
      <c r="C182" s="1">
        <v>55.0</v>
      </c>
      <c r="D182" s="1">
        <v>2.0</v>
      </c>
      <c r="E182" s="1">
        <v>15.0</v>
      </c>
      <c r="F182" s="1">
        <v>36.0</v>
      </c>
      <c r="G182" s="1">
        <v>2.0</v>
      </c>
      <c r="H182" s="1">
        <v>0.6909</v>
      </c>
      <c r="I182" s="1">
        <v>0.1176</v>
      </c>
      <c r="J182" s="1">
        <v>0.5</v>
      </c>
      <c r="K182" s="1">
        <v>0.1905</v>
      </c>
      <c r="L182" s="1">
        <v>0.303</v>
      </c>
    </row>
    <row r="183">
      <c r="A183" s="1" t="s">
        <v>77</v>
      </c>
      <c r="B183" s="1" t="s">
        <v>76</v>
      </c>
      <c r="C183" s="1">
        <v>62.0</v>
      </c>
      <c r="D183" s="1">
        <v>1.0</v>
      </c>
      <c r="E183" s="1">
        <v>2.0</v>
      </c>
      <c r="F183" s="1">
        <v>47.0</v>
      </c>
      <c r="G183" s="1">
        <v>12.0</v>
      </c>
      <c r="H183" s="1">
        <v>0.7742</v>
      </c>
      <c r="I183" s="1">
        <v>0.3333</v>
      </c>
      <c r="J183" s="1">
        <v>0.0769</v>
      </c>
      <c r="K183" s="1">
        <v>0.125</v>
      </c>
      <c r="L183" s="1">
        <v>0.0909</v>
      </c>
    </row>
    <row r="184">
      <c r="A184" s="1" t="s">
        <v>43</v>
      </c>
      <c r="B184" s="1" t="s">
        <v>76</v>
      </c>
      <c r="C184" s="1">
        <v>194.0</v>
      </c>
      <c r="D184" s="1">
        <v>36.0</v>
      </c>
      <c r="E184" s="1">
        <v>32.0</v>
      </c>
      <c r="F184" s="1">
        <v>116.0</v>
      </c>
      <c r="G184" s="1">
        <v>10.0</v>
      </c>
      <c r="H184" s="1">
        <v>0.7835</v>
      </c>
      <c r="I184" s="1">
        <v>0.5294</v>
      </c>
      <c r="J184" s="1">
        <v>0.7826</v>
      </c>
      <c r="K184" s="1">
        <v>0.6316</v>
      </c>
      <c r="L184" s="1">
        <v>0.7143</v>
      </c>
    </row>
    <row r="185">
      <c r="A185" s="1" t="s">
        <v>54</v>
      </c>
      <c r="B185" s="1" t="s">
        <v>76</v>
      </c>
      <c r="C185" s="1">
        <v>26.0</v>
      </c>
      <c r="D185" s="1">
        <v>2.0</v>
      </c>
      <c r="E185" s="1">
        <v>8.0</v>
      </c>
      <c r="F185" s="1">
        <v>14.0</v>
      </c>
      <c r="G185" s="1">
        <v>2.0</v>
      </c>
      <c r="H185" s="1">
        <v>0.6154</v>
      </c>
      <c r="I185" s="1">
        <v>0.2</v>
      </c>
      <c r="J185" s="1">
        <v>0.5</v>
      </c>
      <c r="K185" s="1">
        <v>0.2857</v>
      </c>
      <c r="L185" s="1">
        <v>0.3846</v>
      </c>
    </row>
    <row r="186">
      <c r="A186" s="1" t="s">
        <v>78</v>
      </c>
      <c r="B186" s="1" t="s">
        <v>76</v>
      </c>
      <c r="C186" s="1">
        <v>23.0</v>
      </c>
      <c r="D186" s="1">
        <v>1.0</v>
      </c>
      <c r="E186" s="1">
        <v>6.0</v>
      </c>
      <c r="F186" s="1">
        <v>16.0</v>
      </c>
      <c r="G186" s="1">
        <v>0.0</v>
      </c>
      <c r="H186" s="1">
        <v>0.7391</v>
      </c>
      <c r="I186" s="1">
        <v>0.1429</v>
      </c>
      <c r="J186" s="1">
        <v>1.0</v>
      </c>
      <c r="K186" s="1">
        <v>0.25</v>
      </c>
      <c r="L186" s="1">
        <v>0.4545</v>
      </c>
    </row>
    <row r="187">
      <c r="A187" s="1" t="s">
        <v>44</v>
      </c>
      <c r="B187" s="1" t="s">
        <v>76</v>
      </c>
      <c r="C187" s="1">
        <v>65.0</v>
      </c>
      <c r="D187" s="1">
        <v>8.0</v>
      </c>
      <c r="E187" s="1">
        <v>11.0</v>
      </c>
      <c r="F187" s="1">
        <v>40.0</v>
      </c>
      <c r="G187" s="1">
        <v>6.0</v>
      </c>
      <c r="H187" s="1">
        <v>0.7385</v>
      </c>
      <c r="I187" s="1">
        <v>0.4211</v>
      </c>
      <c r="J187" s="1">
        <v>0.5714</v>
      </c>
      <c r="K187" s="1">
        <v>0.4848</v>
      </c>
      <c r="L187" s="1">
        <v>0.5333</v>
      </c>
    </row>
    <row r="188">
      <c r="A188" s="1" t="s">
        <v>56</v>
      </c>
      <c r="B188" s="1" t="s">
        <v>76</v>
      </c>
      <c r="C188" s="1">
        <v>446.0</v>
      </c>
      <c r="D188" s="1">
        <v>29.0</v>
      </c>
      <c r="E188" s="1">
        <v>45.0</v>
      </c>
      <c r="F188" s="1">
        <v>353.0</v>
      </c>
      <c r="G188" s="1">
        <v>19.0</v>
      </c>
      <c r="H188" s="1">
        <v>0.8565</v>
      </c>
      <c r="I188" s="1">
        <v>0.3919</v>
      </c>
      <c r="J188" s="1">
        <v>0.6042</v>
      </c>
      <c r="K188" s="1">
        <v>0.4754</v>
      </c>
      <c r="L188" s="1">
        <v>0.5451</v>
      </c>
    </row>
    <row r="189">
      <c r="A189" s="1" t="s">
        <v>49</v>
      </c>
      <c r="B189" s="1" t="s">
        <v>76</v>
      </c>
      <c r="C189" s="1">
        <v>95.0</v>
      </c>
      <c r="D189" s="1">
        <v>10.0</v>
      </c>
      <c r="E189" s="1">
        <v>11.0</v>
      </c>
      <c r="F189" s="1">
        <v>64.0</v>
      </c>
      <c r="G189" s="1">
        <v>10.0</v>
      </c>
      <c r="H189" s="1">
        <v>0.7789</v>
      </c>
      <c r="I189" s="1">
        <v>0.4762</v>
      </c>
      <c r="J189" s="1">
        <v>0.5</v>
      </c>
      <c r="K189" s="1">
        <v>0.4878</v>
      </c>
      <c r="L189" s="1">
        <v>0.495</v>
      </c>
    </row>
    <row r="190">
      <c r="A190" s="1" t="s">
        <v>52</v>
      </c>
      <c r="B190" s="1" t="s">
        <v>76</v>
      </c>
      <c r="C190" s="1">
        <v>587.0</v>
      </c>
      <c r="D190" s="1">
        <v>64.0</v>
      </c>
      <c r="E190" s="1">
        <v>117.0</v>
      </c>
      <c r="F190" s="1">
        <v>370.0</v>
      </c>
      <c r="G190" s="1">
        <v>36.0</v>
      </c>
      <c r="H190" s="1">
        <v>0.7394</v>
      </c>
      <c r="I190" s="1">
        <v>0.3536</v>
      </c>
      <c r="J190" s="1">
        <v>0.64</v>
      </c>
      <c r="K190" s="1">
        <v>0.4555</v>
      </c>
      <c r="L190" s="1">
        <v>0.5508</v>
      </c>
    </row>
    <row r="191">
      <c r="A191" s="1" t="s">
        <v>57</v>
      </c>
      <c r="B191" s="1" t="s">
        <v>76</v>
      </c>
      <c r="C191" s="1">
        <v>153.0</v>
      </c>
      <c r="D191" s="1">
        <v>15.0</v>
      </c>
      <c r="E191" s="1">
        <v>30.0</v>
      </c>
      <c r="F191" s="1">
        <v>98.0</v>
      </c>
      <c r="G191" s="1">
        <v>10.0</v>
      </c>
      <c r="H191" s="1">
        <v>0.7386</v>
      </c>
      <c r="I191" s="1">
        <v>0.3333</v>
      </c>
      <c r="J191" s="1">
        <v>0.6</v>
      </c>
      <c r="K191" s="1">
        <v>0.4286</v>
      </c>
      <c r="L191" s="1">
        <v>0.5172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3</v>
      </c>
      <c r="J1" s="1" t="s">
        <v>4</v>
      </c>
      <c r="K1" s="1" t="s">
        <v>5</v>
      </c>
      <c r="L1" s="1" t="s">
        <v>14</v>
      </c>
    </row>
    <row r="2">
      <c r="A2" s="1" t="s">
        <v>15</v>
      </c>
      <c r="B2" s="1" t="s">
        <v>79</v>
      </c>
      <c r="C2" s="1">
        <v>4035.0</v>
      </c>
      <c r="D2" s="1">
        <v>429.0</v>
      </c>
      <c r="E2" s="1">
        <v>213.0</v>
      </c>
      <c r="F2" s="1">
        <v>3173.0</v>
      </c>
      <c r="G2" s="1">
        <v>220.0</v>
      </c>
      <c r="H2" s="1">
        <v>0.8927</v>
      </c>
      <c r="I2" s="1">
        <v>0.6682</v>
      </c>
      <c r="J2" s="1">
        <v>0.661</v>
      </c>
      <c r="K2" s="1">
        <v>0.6646</v>
      </c>
      <c r="L2" s="1">
        <v>0.6624</v>
      </c>
    </row>
    <row r="3">
      <c r="A3" s="1" t="s">
        <v>17</v>
      </c>
      <c r="B3" s="1" t="s">
        <v>79</v>
      </c>
      <c r="C3" s="1">
        <v>654.0</v>
      </c>
      <c r="D3" s="1">
        <v>67.0</v>
      </c>
      <c r="E3" s="1">
        <v>32.0</v>
      </c>
      <c r="F3" s="1">
        <v>512.0</v>
      </c>
      <c r="G3" s="1">
        <v>43.0</v>
      </c>
      <c r="H3" s="1">
        <v>0.8853</v>
      </c>
      <c r="I3" s="1">
        <v>0.6768</v>
      </c>
      <c r="J3" s="1">
        <v>0.6091</v>
      </c>
      <c r="K3" s="1">
        <v>0.6411</v>
      </c>
      <c r="L3" s="1">
        <v>0.6215</v>
      </c>
    </row>
    <row r="4">
      <c r="A4" s="1" t="s">
        <v>18</v>
      </c>
      <c r="B4" s="1" t="s">
        <v>79</v>
      </c>
      <c r="C4" s="1">
        <v>178.0</v>
      </c>
      <c r="D4" s="1">
        <v>21.0</v>
      </c>
      <c r="E4" s="1">
        <v>7.0</v>
      </c>
      <c r="F4" s="1">
        <v>142.0</v>
      </c>
      <c r="G4" s="1">
        <v>8.0</v>
      </c>
      <c r="H4" s="1">
        <v>0.9157</v>
      </c>
      <c r="I4" s="1">
        <v>0.75</v>
      </c>
      <c r="J4" s="1">
        <v>0.7241</v>
      </c>
      <c r="K4" s="1">
        <v>0.7368</v>
      </c>
      <c r="L4" s="1">
        <v>0.7292</v>
      </c>
    </row>
    <row r="5">
      <c r="A5" s="1" t="s">
        <v>15</v>
      </c>
      <c r="B5" s="1" t="s">
        <v>80</v>
      </c>
      <c r="C5" s="1">
        <v>4035.0</v>
      </c>
      <c r="D5" s="1">
        <v>421.0</v>
      </c>
      <c r="E5" s="1">
        <v>196.0</v>
      </c>
      <c r="F5" s="1">
        <v>3190.0</v>
      </c>
      <c r="G5" s="1">
        <v>228.0</v>
      </c>
      <c r="H5" s="1">
        <v>0.8949</v>
      </c>
      <c r="I5" s="1">
        <v>0.6823</v>
      </c>
      <c r="J5" s="1">
        <v>0.6487</v>
      </c>
      <c r="K5" s="1">
        <v>0.6651</v>
      </c>
      <c r="L5" s="1">
        <v>0.6552</v>
      </c>
    </row>
    <row r="6">
      <c r="A6" s="1" t="s">
        <v>17</v>
      </c>
      <c r="B6" s="1" t="s">
        <v>80</v>
      </c>
      <c r="C6" s="1">
        <v>654.0</v>
      </c>
      <c r="D6" s="1">
        <v>70.0</v>
      </c>
      <c r="E6" s="1">
        <v>27.0</v>
      </c>
      <c r="F6" s="1">
        <v>517.0</v>
      </c>
      <c r="G6" s="1">
        <v>40.0</v>
      </c>
      <c r="H6" s="1">
        <v>0.8976</v>
      </c>
      <c r="I6" s="1">
        <v>0.7216</v>
      </c>
      <c r="J6" s="1">
        <v>0.6364</v>
      </c>
      <c r="K6" s="1">
        <v>0.6763</v>
      </c>
      <c r="L6" s="1">
        <v>0.6518</v>
      </c>
    </row>
    <row r="7">
      <c r="A7" s="1" t="s">
        <v>18</v>
      </c>
      <c r="B7" s="1" t="s">
        <v>80</v>
      </c>
      <c r="C7" s="1">
        <v>178.0</v>
      </c>
      <c r="D7" s="1">
        <v>20.0</v>
      </c>
      <c r="E7" s="1">
        <v>7.0</v>
      </c>
      <c r="F7" s="1">
        <v>142.0</v>
      </c>
      <c r="G7" s="1">
        <v>9.0</v>
      </c>
      <c r="H7" s="1">
        <v>0.9101</v>
      </c>
      <c r="I7" s="1">
        <v>0.7407</v>
      </c>
      <c r="J7" s="1">
        <v>0.6897</v>
      </c>
      <c r="K7" s="1">
        <v>0.7143</v>
      </c>
      <c r="L7" s="1">
        <v>0.6993</v>
      </c>
    </row>
    <row r="8">
      <c r="A8" s="1" t="s">
        <v>15</v>
      </c>
      <c r="B8" s="1" t="s">
        <v>81</v>
      </c>
      <c r="C8" s="1">
        <v>4035.0</v>
      </c>
      <c r="D8" s="1">
        <v>417.0</v>
      </c>
      <c r="E8" s="1">
        <v>210.0</v>
      </c>
      <c r="F8" s="1">
        <v>3176.0</v>
      </c>
      <c r="G8" s="1">
        <v>232.0</v>
      </c>
      <c r="H8" s="1">
        <v>0.8905</v>
      </c>
      <c r="I8" s="1">
        <v>0.6651</v>
      </c>
      <c r="J8" s="1">
        <v>0.6425</v>
      </c>
      <c r="K8" s="1">
        <v>0.6536</v>
      </c>
      <c r="L8" s="1">
        <v>0.6469</v>
      </c>
    </row>
    <row r="9">
      <c r="A9" s="1" t="s">
        <v>17</v>
      </c>
      <c r="B9" s="1" t="s">
        <v>81</v>
      </c>
      <c r="C9" s="1">
        <v>654.0</v>
      </c>
      <c r="D9" s="1">
        <v>65.0</v>
      </c>
      <c r="E9" s="1">
        <v>24.0</v>
      </c>
      <c r="F9" s="1">
        <v>520.0</v>
      </c>
      <c r="G9" s="1">
        <v>45.0</v>
      </c>
      <c r="H9" s="1">
        <v>0.8945</v>
      </c>
      <c r="I9" s="1">
        <v>0.7303</v>
      </c>
      <c r="J9" s="1">
        <v>0.5909</v>
      </c>
      <c r="K9" s="1">
        <v>0.6533</v>
      </c>
      <c r="L9" s="1">
        <v>0.6144</v>
      </c>
    </row>
    <row r="10">
      <c r="A10" s="1" t="s">
        <v>18</v>
      </c>
      <c r="B10" s="1" t="s">
        <v>81</v>
      </c>
      <c r="C10" s="1">
        <v>178.0</v>
      </c>
      <c r="D10" s="1">
        <v>20.0</v>
      </c>
      <c r="E10" s="1">
        <v>11.0</v>
      </c>
      <c r="F10" s="1">
        <v>138.0</v>
      </c>
      <c r="G10" s="1">
        <v>9.0</v>
      </c>
      <c r="H10" s="1">
        <v>0.8876</v>
      </c>
      <c r="I10" s="1">
        <v>0.6452</v>
      </c>
      <c r="J10" s="1">
        <v>0.6897</v>
      </c>
      <c r="K10" s="1">
        <v>0.6667</v>
      </c>
      <c r="L10" s="1">
        <v>0.6803</v>
      </c>
    </row>
    <row r="11">
      <c r="A11" s="1" t="s">
        <v>15</v>
      </c>
      <c r="B11" s="1" t="s">
        <v>82</v>
      </c>
      <c r="C11" s="1">
        <v>4035.0</v>
      </c>
      <c r="D11" s="1">
        <v>417.0</v>
      </c>
      <c r="E11" s="1">
        <v>199.0</v>
      </c>
      <c r="F11" s="1">
        <v>3187.0</v>
      </c>
      <c r="G11" s="1">
        <v>232.0</v>
      </c>
      <c r="H11" s="1">
        <v>0.8932</v>
      </c>
      <c r="I11" s="1">
        <v>0.6769</v>
      </c>
      <c r="J11" s="1">
        <v>0.6425</v>
      </c>
      <c r="K11" s="1">
        <v>0.6593</v>
      </c>
      <c r="L11" s="1">
        <v>0.6491</v>
      </c>
    </row>
    <row r="12">
      <c r="A12" s="1" t="s">
        <v>17</v>
      </c>
      <c r="B12" s="1" t="s">
        <v>82</v>
      </c>
      <c r="C12" s="1">
        <v>654.0</v>
      </c>
      <c r="D12" s="1">
        <v>65.0</v>
      </c>
      <c r="E12" s="1">
        <v>27.0</v>
      </c>
      <c r="F12" s="1">
        <v>517.0</v>
      </c>
      <c r="G12" s="1">
        <v>45.0</v>
      </c>
      <c r="H12" s="1">
        <v>0.8899</v>
      </c>
      <c r="I12" s="1">
        <v>0.7065</v>
      </c>
      <c r="J12" s="1">
        <v>0.5909</v>
      </c>
      <c r="K12" s="1">
        <v>0.6436</v>
      </c>
      <c r="L12" s="1">
        <v>0.6109</v>
      </c>
    </row>
    <row r="13">
      <c r="A13" s="1" t="s">
        <v>18</v>
      </c>
      <c r="B13" s="1" t="s">
        <v>82</v>
      </c>
      <c r="C13" s="1">
        <v>178.0</v>
      </c>
      <c r="D13" s="1">
        <v>23.0</v>
      </c>
      <c r="E13" s="1">
        <v>11.0</v>
      </c>
      <c r="F13" s="1">
        <v>138.0</v>
      </c>
      <c r="G13" s="1">
        <v>6.0</v>
      </c>
      <c r="H13" s="1">
        <v>0.9045</v>
      </c>
      <c r="I13" s="1">
        <v>0.6765</v>
      </c>
      <c r="J13" s="1">
        <v>0.7931</v>
      </c>
      <c r="K13" s="1">
        <v>0.7302</v>
      </c>
      <c r="L13" s="1">
        <v>0.7667</v>
      </c>
    </row>
    <row r="14">
      <c r="A14" s="1" t="s">
        <v>15</v>
      </c>
      <c r="B14" s="1" t="s">
        <v>83</v>
      </c>
      <c r="C14" s="1">
        <v>4035.0</v>
      </c>
      <c r="D14" s="1">
        <v>461.0</v>
      </c>
      <c r="E14" s="1">
        <v>231.0</v>
      </c>
      <c r="F14" s="1">
        <v>3155.0</v>
      </c>
      <c r="G14" s="1">
        <v>188.0</v>
      </c>
      <c r="H14" s="1">
        <v>0.8962</v>
      </c>
      <c r="I14" s="1">
        <v>0.6662</v>
      </c>
      <c r="J14" s="1">
        <v>0.7103</v>
      </c>
      <c r="K14" s="1">
        <v>0.6875</v>
      </c>
      <c r="L14" s="1">
        <v>0.701</v>
      </c>
    </row>
    <row r="15">
      <c r="A15" s="1" t="s">
        <v>17</v>
      </c>
      <c r="B15" s="1" t="s">
        <v>83</v>
      </c>
      <c r="C15" s="1">
        <v>654.0</v>
      </c>
      <c r="D15" s="1">
        <v>76.0</v>
      </c>
      <c r="E15" s="1">
        <v>32.0</v>
      </c>
      <c r="F15" s="1">
        <v>512.0</v>
      </c>
      <c r="G15" s="1">
        <v>34.0</v>
      </c>
      <c r="H15" s="1">
        <v>0.8991</v>
      </c>
      <c r="I15" s="1">
        <v>0.7037</v>
      </c>
      <c r="J15" s="1">
        <v>0.6909</v>
      </c>
      <c r="K15" s="1">
        <v>0.6972</v>
      </c>
      <c r="L15" s="1">
        <v>0.6934</v>
      </c>
    </row>
    <row r="16">
      <c r="A16" s="1" t="s">
        <v>18</v>
      </c>
      <c r="B16" s="1" t="s">
        <v>83</v>
      </c>
      <c r="C16" s="1">
        <v>178.0</v>
      </c>
      <c r="D16" s="1">
        <v>24.0</v>
      </c>
      <c r="E16" s="1">
        <v>9.0</v>
      </c>
      <c r="F16" s="1">
        <v>140.0</v>
      </c>
      <c r="G16" s="1">
        <v>5.0</v>
      </c>
      <c r="H16" s="1">
        <v>0.9213</v>
      </c>
      <c r="I16" s="1">
        <v>0.7273</v>
      </c>
      <c r="J16" s="1">
        <v>0.8276</v>
      </c>
      <c r="K16" s="1">
        <v>0.7742</v>
      </c>
      <c r="L16" s="1">
        <v>0.8054</v>
      </c>
    </row>
    <row r="17">
      <c r="A17" s="1" t="s">
        <v>15</v>
      </c>
      <c r="B17" s="1" t="s">
        <v>84</v>
      </c>
      <c r="C17" s="1">
        <v>4035.0</v>
      </c>
      <c r="D17" s="1">
        <v>454.0</v>
      </c>
      <c r="E17" s="1">
        <v>225.0</v>
      </c>
      <c r="F17" s="1">
        <v>3161.0</v>
      </c>
      <c r="G17" s="1">
        <v>195.0</v>
      </c>
      <c r="H17" s="1">
        <v>0.8959</v>
      </c>
      <c r="I17" s="1">
        <v>0.6686</v>
      </c>
      <c r="J17" s="1">
        <v>0.6995</v>
      </c>
      <c r="K17" s="1">
        <v>0.6837</v>
      </c>
      <c r="L17" s="1">
        <v>0.6931</v>
      </c>
    </row>
    <row r="18">
      <c r="A18" s="1" t="s">
        <v>17</v>
      </c>
      <c r="B18" s="1" t="s">
        <v>84</v>
      </c>
      <c r="C18" s="1">
        <v>654.0</v>
      </c>
      <c r="D18" s="1">
        <v>77.0</v>
      </c>
      <c r="E18" s="1">
        <v>33.0</v>
      </c>
      <c r="F18" s="1">
        <v>511.0</v>
      </c>
      <c r="G18" s="1">
        <v>33.0</v>
      </c>
      <c r="H18" s="1">
        <v>0.8991</v>
      </c>
      <c r="I18" s="1">
        <v>0.7</v>
      </c>
      <c r="J18" s="1">
        <v>0.7</v>
      </c>
      <c r="K18" s="1">
        <v>0.7</v>
      </c>
      <c r="L18" s="1">
        <v>0.7</v>
      </c>
    </row>
    <row r="19">
      <c r="A19" s="1" t="s">
        <v>18</v>
      </c>
      <c r="B19" s="1" t="s">
        <v>84</v>
      </c>
      <c r="C19" s="1">
        <v>178.0</v>
      </c>
      <c r="D19" s="1">
        <v>24.0</v>
      </c>
      <c r="E19" s="1">
        <v>9.0</v>
      </c>
      <c r="F19" s="1">
        <v>140.0</v>
      </c>
      <c r="G19" s="1">
        <v>5.0</v>
      </c>
      <c r="H19" s="1">
        <v>0.9213</v>
      </c>
      <c r="I19" s="1">
        <v>0.7273</v>
      </c>
      <c r="J19" s="1">
        <v>0.8276</v>
      </c>
      <c r="K19" s="1">
        <v>0.7742</v>
      </c>
      <c r="L19" s="1">
        <v>0.8054</v>
      </c>
    </row>
    <row r="20">
      <c r="A20" s="22" t="s">
        <v>15</v>
      </c>
      <c r="B20" s="22" t="s">
        <v>85</v>
      </c>
      <c r="C20" s="22">
        <v>4035.0</v>
      </c>
      <c r="D20" s="22">
        <v>469.0</v>
      </c>
      <c r="E20" s="22">
        <v>294.0</v>
      </c>
      <c r="F20" s="22">
        <v>3092.0</v>
      </c>
      <c r="G20" s="22">
        <v>180.0</v>
      </c>
      <c r="H20" s="22">
        <v>0.8825</v>
      </c>
      <c r="I20" s="22">
        <v>0.6147</v>
      </c>
      <c r="J20" s="22">
        <v>0.7227</v>
      </c>
      <c r="K20" s="22">
        <v>0.6643</v>
      </c>
      <c r="L20" s="22">
        <v>0.6981</v>
      </c>
    </row>
    <row r="21">
      <c r="A21" s="22" t="s">
        <v>17</v>
      </c>
      <c r="B21" s="22" t="s">
        <v>85</v>
      </c>
      <c r="C21" s="22">
        <v>654.0</v>
      </c>
      <c r="D21" s="22">
        <v>75.0</v>
      </c>
      <c r="E21" s="22">
        <v>43.0</v>
      </c>
      <c r="F21" s="22">
        <v>501.0</v>
      </c>
      <c r="G21" s="22">
        <v>35.0</v>
      </c>
      <c r="H21" s="22">
        <v>0.8807</v>
      </c>
      <c r="I21" s="22">
        <v>0.6356</v>
      </c>
      <c r="J21" s="22">
        <v>0.6818</v>
      </c>
      <c r="K21" s="22">
        <v>0.6579</v>
      </c>
      <c r="L21" s="22">
        <v>0.672</v>
      </c>
    </row>
    <row r="22">
      <c r="A22" s="22" t="s">
        <v>18</v>
      </c>
      <c r="B22" s="22" t="s">
        <v>85</v>
      </c>
      <c r="C22" s="22">
        <v>178.0</v>
      </c>
      <c r="D22" s="22">
        <v>18.0</v>
      </c>
      <c r="E22" s="22">
        <v>14.0</v>
      </c>
      <c r="F22" s="22">
        <v>135.0</v>
      </c>
      <c r="G22" s="22">
        <v>11.0</v>
      </c>
      <c r="H22" s="22">
        <v>0.8596</v>
      </c>
      <c r="I22" s="22">
        <v>0.5625</v>
      </c>
      <c r="J22" s="22">
        <v>0.6207</v>
      </c>
      <c r="K22" s="22">
        <v>0.5902</v>
      </c>
      <c r="L22" s="22">
        <v>0.6081</v>
      </c>
    </row>
    <row r="23">
      <c r="A23" s="1" t="s">
        <v>15</v>
      </c>
      <c r="B23" s="1" t="s">
        <v>86</v>
      </c>
      <c r="C23" s="1">
        <v>4035.0</v>
      </c>
      <c r="D23" s="1">
        <v>437.0</v>
      </c>
      <c r="E23" s="1">
        <v>239.0</v>
      </c>
      <c r="F23" s="1">
        <v>3147.0</v>
      </c>
      <c r="G23" s="1">
        <v>212.0</v>
      </c>
      <c r="H23" s="1">
        <v>0.8882</v>
      </c>
      <c r="I23" s="1">
        <v>0.6464</v>
      </c>
      <c r="J23" s="1">
        <v>0.6733</v>
      </c>
      <c r="K23" s="1">
        <v>0.6596</v>
      </c>
      <c r="L23" s="1">
        <v>0.6678</v>
      </c>
    </row>
    <row r="24">
      <c r="A24" s="1" t="s">
        <v>17</v>
      </c>
      <c r="B24" s="1" t="s">
        <v>86</v>
      </c>
      <c r="C24" s="1">
        <v>654.0</v>
      </c>
      <c r="D24" s="1">
        <v>69.0</v>
      </c>
      <c r="E24" s="1">
        <v>34.0</v>
      </c>
      <c r="F24" s="1">
        <v>510.0</v>
      </c>
      <c r="G24" s="1">
        <v>41.0</v>
      </c>
      <c r="H24" s="1">
        <v>0.8853</v>
      </c>
      <c r="I24" s="1">
        <v>0.6699</v>
      </c>
      <c r="J24" s="1">
        <v>0.6273</v>
      </c>
      <c r="K24" s="1">
        <v>0.6479</v>
      </c>
      <c r="L24" s="1">
        <v>0.6354</v>
      </c>
    </row>
    <row r="25">
      <c r="A25" s="1" t="s">
        <v>18</v>
      </c>
      <c r="B25" s="1" t="s">
        <v>86</v>
      </c>
      <c r="C25" s="1">
        <v>178.0</v>
      </c>
      <c r="D25" s="1">
        <v>22.0</v>
      </c>
      <c r="E25" s="1">
        <v>10.0</v>
      </c>
      <c r="F25" s="1">
        <v>139.0</v>
      </c>
      <c r="G25" s="1">
        <v>7.0</v>
      </c>
      <c r="H25" s="1">
        <v>0.9045</v>
      </c>
      <c r="I25" s="1">
        <v>0.6875</v>
      </c>
      <c r="J25" s="1">
        <v>0.7586</v>
      </c>
      <c r="K25" s="1">
        <v>0.7213</v>
      </c>
      <c r="L25" s="1">
        <v>0.7432</v>
      </c>
    </row>
    <row r="29">
      <c r="D29" s="1" t="s">
        <v>87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6.75"/>
    <col customWidth="1" min="8" max="8" width="22.25"/>
    <col customWidth="1" min="16" max="16" width="22.25"/>
  </cols>
  <sheetData>
    <row r="1">
      <c r="A1" s="1" t="s">
        <v>40</v>
      </c>
      <c r="B1" s="1" t="s">
        <v>41</v>
      </c>
      <c r="C1" s="1" t="s">
        <v>1</v>
      </c>
      <c r="D1" s="1" t="s">
        <v>2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3</v>
      </c>
      <c r="K1" s="1" t="s">
        <v>4</v>
      </c>
      <c r="L1" s="1" t="s">
        <v>5</v>
      </c>
      <c r="M1" s="1" t="s">
        <v>14</v>
      </c>
    </row>
    <row r="2">
      <c r="A2" s="1" t="s">
        <v>48</v>
      </c>
      <c r="B2" s="1">
        <v>1.0</v>
      </c>
      <c r="C2" s="1" t="s">
        <v>79</v>
      </c>
      <c r="D2" s="1">
        <v>26.0</v>
      </c>
      <c r="E2" s="1">
        <v>4.0</v>
      </c>
      <c r="F2" s="1">
        <v>1.0</v>
      </c>
      <c r="G2" s="1">
        <v>20.0</v>
      </c>
      <c r="H2" s="1">
        <v>1.0</v>
      </c>
      <c r="I2" s="1">
        <v>0.9231</v>
      </c>
      <c r="J2" s="1">
        <v>0.8</v>
      </c>
      <c r="K2" s="1">
        <v>0.8</v>
      </c>
      <c r="L2" s="1">
        <v>0.8</v>
      </c>
      <c r="M2" s="1">
        <v>0.8</v>
      </c>
    </row>
    <row r="3">
      <c r="A3" s="1" t="s">
        <v>45</v>
      </c>
      <c r="B3" s="1">
        <v>2.0</v>
      </c>
      <c r="C3" s="1" t="s">
        <v>79</v>
      </c>
      <c r="D3" s="1">
        <v>49.0</v>
      </c>
      <c r="E3" s="1">
        <v>8.0</v>
      </c>
      <c r="F3" s="1">
        <v>1.0</v>
      </c>
      <c r="G3" s="1">
        <v>37.0</v>
      </c>
      <c r="H3" s="1">
        <v>3.0</v>
      </c>
      <c r="I3" s="1">
        <v>0.9184</v>
      </c>
      <c r="J3" s="1">
        <v>0.8889</v>
      </c>
      <c r="K3" s="1">
        <v>0.7273</v>
      </c>
      <c r="L3" s="1">
        <v>0.8</v>
      </c>
      <c r="M3" s="1">
        <v>0.7547</v>
      </c>
    </row>
    <row r="4">
      <c r="A4" s="1" t="s">
        <v>44</v>
      </c>
      <c r="B4" s="1">
        <v>3.0</v>
      </c>
      <c r="C4" s="1" t="s">
        <v>79</v>
      </c>
      <c r="D4" s="1">
        <v>65.0</v>
      </c>
      <c r="E4" s="1">
        <v>10.0</v>
      </c>
      <c r="F4" s="1">
        <v>3.0</v>
      </c>
      <c r="G4" s="1">
        <v>48.0</v>
      </c>
      <c r="H4" s="1">
        <v>4.0</v>
      </c>
      <c r="I4" s="1">
        <v>0.8923</v>
      </c>
      <c r="J4" s="1">
        <v>0.7692</v>
      </c>
      <c r="K4" s="1">
        <v>0.7143</v>
      </c>
      <c r="L4" s="1">
        <v>0.7407</v>
      </c>
      <c r="M4" s="1">
        <v>0.7246</v>
      </c>
    </row>
    <row r="5">
      <c r="A5" s="1" t="s">
        <v>49</v>
      </c>
      <c r="B5" s="1">
        <v>4.0</v>
      </c>
      <c r="C5" s="1" t="s">
        <v>79</v>
      </c>
      <c r="D5" s="1">
        <v>95.0</v>
      </c>
      <c r="E5" s="1">
        <v>14.0</v>
      </c>
      <c r="F5" s="1">
        <v>5.0</v>
      </c>
      <c r="G5" s="1">
        <v>70.0</v>
      </c>
      <c r="H5" s="1">
        <v>6.0</v>
      </c>
      <c r="I5" s="1">
        <v>0.8842</v>
      </c>
      <c r="J5" s="1">
        <v>0.7368</v>
      </c>
      <c r="K5" s="1">
        <v>0.7</v>
      </c>
      <c r="L5" s="1">
        <v>0.7179</v>
      </c>
      <c r="M5" s="1">
        <v>0.7071</v>
      </c>
    </row>
    <row r="6">
      <c r="A6" s="1" t="s">
        <v>53</v>
      </c>
      <c r="B6" s="1">
        <v>5.0</v>
      </c>
      <c r="C6" s="1" t="s">
        <v>79</v>
      </c>
      <c r="D6" s="1">
        <v>897.0</v>
      </c>
      <c r="E6" s="1">
        <v>117.0</v>
      </c>
      <c r="F6" s="1">
        <v>47.0</v>
      </c>
      <c r="G6" s="1">
        <v>682.0</v>
      </c>
      <c r="H6" s="1">
        <v>51.0</v>
      </c>
      <c r="I6" s="1">
        <v>0.8907</v>
      </c>
      <c r="J6" s="1">
        <v>0.7134</v>
      </c>
      <c r="K6" s="1">
        <v>0.6964</v>
      </c>
      <c r="L6" s="1">
        <v>0.7048</v>
      </c>
      <c r="M6" s="1">
        <v>0.6998</v>
      </c>
    </row>
    <row r="7">
      <c r="A7" s="1" t="s">
        <v>56</v>
      </c>
      <c r="B7" s="1">
        <v>6.0</v>
      </c>
      <c r="C7" s="1" t="s">
        <v>79</v>
      </c>
      <c r="D7" s="1">
        <v>446.0</v>
      </c>
      <c r="E7" s="1">
        <v>32.0</v>
      </c>
      <c r="F7" s="1">
        <v>14.0</v>
      </c>
      <c r="G7" s="1">
        <v>384.0</v>
      </c>
      <c r="H7" s="1">
        <v>16.0</v>
      </c>
      <c r="I7" s="1">
        <v>0.9327</v>
      </c>
      <c r="J7" s="1">
        <v>0.6957</v>
      </c>
      <c r="K7" s="1">
        <v>0.6667</v>
      </c>
      <c r="L7" s="1">
        <v>0.6809</v>
      </c>
      <c r="M7" s="1">
        <v>0.6723</v>
      </c>
    </row>
    <row r="8">
      <c r="A8" s="1" t="s">
        <v>57</v>
      </c>
      <c r="B8" s="1">
        <v>7.0</v>
      </c>
      <c r="C8" s="1" t="s">
        <v>79</v>
      </c>
      <c r="D8" s="1">
        <v>153.0</v>
      </c>
      <c r="E8" s="1">
        <v>18.0</v>
      </c>
      <c r="F8" s="1">
        <v>10.0</v>
      </c>
      <c r="G8" s="1">
        <v>118.0</v>
      </c>
      <c r="H8" s="1">
        <v>7.0</v>
      </c>
      <c r="I8" s="1">
        <v>0.8889</v>
      </c>
      <c r="J8" s="1">
        <v>0.6429</v>
      </c>
      <c r="K8" s="1">
        <v>0.72</v>
      </c>
      <c r="L8" s="1">
        <v>0.6792</v>
      </c>
      <c r="M8" s="1">
        <v>0.7031</v>
      </c>
    </row>
    <row r="9">
      <c r="A9" s="1" t="s">
        <v>51</v>
      </c>
      <c r="B9" s="1">
        <v>8.0</v>
      </c>
      <c r="C9" s="1" t="s">
        <v>79</v>
      </c>
      <c r="D9" s="1">
        <v>662.0</v>
      </c>
      <c r="E9" s="1">
        <v>89.0</v>
      </c>
      <c r="F9" s="1">
        <v>44.0</v>
      </c>
      <c r="G9" s="1">
        <v>487.0</v>
      </c>
      <c r="H9" s="1">
        <v>42.0</v>
      </c>
      <c r="I9" s="1">
        <v>0.8701</v>
      </c>
      <c r="J9" s="1">
        <v>0.6692</v>
      </c>
      <c r="K9" s="1">
        <v>0.6794</v>
      </c>
      <c r="L9" s="1">
        <v>0.6742</v>
      </c>
      <c r="M9" s="1">
        <v>0.6773</v>
      </c>
    </row>
    <row r="10">
      <c r="A10" s="1" t="s">
        <v>47</v>
      </c>
      <c r="B10" s="1">
        <v>9.0</v>
      </c>
      <c r="C10" s="1" t="s">
        <v>79</v>
      </c>
      <c r="D10" s="1">
        <v>274.0</v>
      </c>
      <c r="E10" s="1">
        <v>34.0</v>
      </c>
      <c r="F10" s="1">
        <v>17.0</v>
      </c>
      <c r="G10" s="1">
        <v>207.0</v>
      </c>
      <c r="H10" s="1">
        <v>16.0</v>
      </c>
      <c r="I10" s="1">
        <v>0.8796</v>
      </c>
      <c r="J10" s="1">
        <v>0.6667</v>
      </c>
      <c r="K10" s="1">
        <v>0.68</v>
      </c>
      <c r="L10" s="1">
        <v>0.6733</v>
      </c>
      <c r="M10" s="1">
        <v>0.6773</v>
      </c>
    </row>
    <row r="11">
      <c r="A11" s="1" t="s">
        <v>46</v>
      </c>
      <c r="B11" s="1">
        <v>10.0</v>
      </c>
      <c r="C11" s="1" t="s">
        <v>79</v>
      </c>
      <c r="D11" s="1">
        <v>89.0</v>
      </c>
      <c r="E11" s="1">
        <v>3.0</v>
      </c>
      <c r="F11" s="1">
        <v>1.0</v>
      </c>
      <c r="G11" s="1">
        <v>83.0</v>
      </c>
      <c r="H11" s="1">
        <v>2.0</v>
      </c>
      <c r="I11" s="1">
        <v>0.9663</v>
      </c>
      <c r="J11" s="1">
        <v>0.75</v>
      </c>
      <c r="K11" s="1">
        <v>0.6</v>
      </c>
      <c r="L11" s="1">
        <v>0.6667</v>
      </c>
      <c r="M11" s="1">
        <v>0.625</v>
      </c>
    </row>
    <row r="12">
      <c r="A12" s="1" t="s">
        <v>50</v>
      </c>
      <c r="B12" s="1">
        <v>11.0</v>
      </c>
      <c r="C12" s="1" t="s">
        <v>79</v>
      </c>
      <c r="D12" s="1">
        <v>679.0</v>
      </c>
      <c r="E12" s="1">
        <v>56.0</v>
      </c>
      <c r="F12" s="1">
        <v>22.0</v>
      </c>
      <c r="G12" s="1">
        <v>564.0</v>
      </c>
      <c r="H12" s="1">
        <v>37.0</v>
      </c>
      <c r="I12" s="1">
        <v>0.9131</v>
      </c>
      <c r="J12" s="1">
        <v>0.7179</v>
      </c>
      <c r="K12" s="1">
        <v>0.6022</v>
      </c>
      <c r="L12" s="1">
        <v>0.655</v>
      </c>
      <c r="M12" s="1">
        <v>0.6222</v>
      </c>
    </row>
    <row r="13">
      <c r="A13" s="1" t="s">
        <v>43</v>
      </c>
      <c r="B13" s="1">
        <v>12.0</v>
      </c>
      <c r="C13" s="1" t="s">
        <v>79</v>
      </c>
      <c r="D13" s="1">
        <v>194.0</v>
      </c>
      <c r="E13" s="1">
        <v>28.0</v>
      </c>
      <c r="F13" s="1">
        <v>12.0</v>
      </c>
      <c r="G13" s="1">
        <v>136.0</v>
      </c>
      <c r="H13" s="1">
        <v>18.0</v>
      </c>
      <c r="I13" s="1">
        <v>0.8454</v>
      </c>
      <c r="J13" s="1">
        <v>0.7</v>
      </c>
      <c r="K13" s="1">
        <v>0.6087</v>
      </c>
      <c r="L13" s="1">
        <v>0.6512</v>
      </c>
      <c r="M13" s="1">
        <v>0.625</v>
      </c>
    </row>
    <row r="14">
      <c r="A14" s="1" t="s">
        <v>52</v>
      </c>
      <c r="B14" s="1">
        <v>13.0</v>
      </c>
      <c r="C14" s="1" t="s">
        <v>79</v>
      </c>
      <c r="D14" s="1">
        <v>587.0</v>
      </c>
      <c r="E14" s="1">
        <v>63.0</v>
      </c>
      <c r="F14" s="1">
        <v>36.0</v>
      </c>
      <c r="G14" s="1">
        <v>451.0</v>
      </c>
      <c r="H14" s="1">
        <v>37.0</v>
      </c>
      <c r="I14" s="1">
        <v>0.8756</v>
      </c>
      <c r="J14" s="1">
        <v>0.6364</v>
      </c>
      <c r="K14" s="1">
        <v>0.63</v>
      </c>
      <c r="L14" s="1">
        <v>0.6332</v>
      </c>
      <c r="M14" s="1">
        <v>0.6313</v>
      </c>
    </row>
    <row r="15">
      <c r="A15" s="1" t="s">
        <v>54</v>
      </c>
      <c r="B15" s="1">
        <v>14.0</v>
      </c>
      <c r="C15" s="1" t="s">
        <v>79</v>
      </c>
      <c r="D15" s="1">
        <v>49.0</v>
      </c>
      <c r="E15" s="1">
        <v>3.0</v>
      </c>
      <c r="F15" s="1">
        <v>2.0</v>
      </c>
      <c r="G15" s="1">
        <v>42.0</v>
      </c>
      <c r="H15" s="1">
        <v>2.0</v>
      </c>
      <c r="I15" s="1">
        <v>0.9184</v>
      </c>
      <c r="J15" s="1">
        <v>0.6</v>
      </c>
      <c r="K15" s="1">
        <v>0.6</v>
      </c>
      <c r="L15" s="1">
        <v>0.6</v>
      </c>
      <c r="M15" s="1">
        <v>0.6</v>
      </c>
    </row>
    <row r="16">
      <c r="A16" s="1" t="s">
        <v>55</v>
      </c>
      <c r="B16" s="1">
        <v>15.0</v>
      </c>
      <c r="C16" s="1" t="s">
        <v>79</v>
      </c>
      <c r="D16" s="1">
        <v>469.0</v>
      </c>
      <c r="E16" s="1">
        <v>28.0</v>
      </c>
      <c r="F16" s="1">
        <v>24.0</v>
      </c>
      <c r="G16" s="1">
        <v>401.0</v>
      </c>
      <c r="H16" s="1">
        <v>16.0</v>
      </c>
      <c r="I16" s="1">
        <v>0.9147</v>
      </c>
      <c r="J16" s="1">
        <v>0.5385</v>
      </c>
      <c r="K16" s="1">
        <v>0.6364</v>
      </c>
      <c r="L16" s="1">
        <v>0.5833</v>
      </c>
      <c r="M16" s="1">
        <v>0.614</v>
      </c>
    </row>
    <row r="17">
      <c r="A17" s="1" t="s">
        <v>42</v>
      </c>
      <c r="B17" s="1">
        <v>16.0</v>
      </c>
      <c r="C17" s="1" t="s">
        <v>79</v>
      </c>
      <c r="D17" s="1">
        <v>16.0</v>
      </c>
      <c r="E17" s="1">
        <v>2.0</v>
      </c>
      <c r="F17" s="1">
        <v>1.0</v>
      </c>
      <c r="G17" s="1">
        <v>9.0</v>
      </c>
      <c r="H17" s="1">
        <v>4.0</v>
      </c>
      <c r="I17" s="1">
        <v>0.6875</v>
      </c>
      <c r="J17" s="1">
        <v>0.6667</v>
      </c>
      <c r="K17" s="1">
        <v>0.3333</v>
      </c>
      <c r="L17" s="1">
        <v>0.4444</v>
      </c>
      <c r="M17" s="1">
        <v>0.3704</v>
      </c>
    </row>
    <row r="18">
      <c r="A18" s="1" t="s">
        <v>58</v>
      </c>
      <c r="B18" s="1">
        <v>17.0</v>
      </c>
      <c r="C18" s="1" t="s">
        <v>79</v>
      </c>
      <c r="D18" s="1">
        <v>117.0</v>
      </c>
      <c r="E18" s="1">
        <v>8.0</v>
      </c>
      <c r="F18" s="1">
        <v>12.0</v>
      </c>
      <c r="G18" s="1">
        <v>88.0</v>
      </c>
      <c r="H18" s="1">
        <v>9.0</v>
      </c>
      <c r="I18" s="1">
        <v>0.8205</v>
      </c>
      <c r="J18" s="1">
        <v>0.4</v>
      </c>
      <c r="K18" s="1">
        <v>0.4706</v>
      </c>
      <c r="L18" s="1">
        <v>0.4324</v>
      </c>
      <c r="M18" s="1">
        <v>0.4545</v>
      </c>
    </row>
    <row r="19">
      <c r="A19" s="1" t="s">
        <v>45</v>
      </c>
      <c r="B19" s="1">
        <v>1.0</v>
      </c>
      <c r="C19" s="1" t="s">
        <v>80</v>
      </c>
      <c r="D19" s="1">
        <v>49.0</v>
      </c>
      <c r="E19" s="1">
        <v>9.0</v>
      </c>
      <c r="F19" s="1">
        <v>1.0</v>
      </c>
      <c r="G19" s="1">
        <v>37.0</v>
      </c>
      <c r="H19" s="1">
        <v>2.0</v>
      </c>
      <c r="I19" s="1">
        <v>0.9388</v>
      </c>
      <c r="J19" s="1">
        <v>0.9</v>
      </c>
      <c r="K19" s="1">
        <v>0.8182</v>
      </c>
      <c r="L19" s="1">
        <v>0.8571</v>
      </c>
      <c r="M19" s="1">
        <v>0.8333</v>
      </c>
    </row>
    <row r="20">
      <c r="A20" s="1" t="s">
        <v>48</v>
      </c>
      <c r="B20" s="1">
        <v>2.0</v>
      </c>
      <c r="C20" s="1" t="s">
        <v>80</v>
      </c>
      <c r="D20" s="1">
        <v>26.0</v>
      </c>
      <c r="E20" s="1">
        <v>4.0</v>
      </c>
      <c r="F20" s="1">
        <v>1.0</v>
      </c>
      <c r="G20" s="1">
        <v>20.0</v>
      </c>
      <c r="H20" s="1">
        <v>1.0</v>
      </c>
      <c r="I20" s="1">
        <v>0.9231</v>
      </c>
      <c r="J20" s="1">
        <v>0.8</v>
      </c>
      <c r="K20" s="1">
        <v>0.8</v>
      </c>
      <c r="L20" s="1">
        <v>0.8</v>
      </c>
      <c r="M20" s="1">
        <v>0.8</v>
      </c>
    </row>
    <row r="21">
      <c r="A21" s="1" t="s">
        <v>49</v>
      </c>
      <c r="B21" s="1">
        <v>3.0</v>
      </c>
      <c r="C21" s="1" t="s">
        <v>80</v>
      </c>
      <c r="D21" s="1">
        <v>95.0</v>
      </c>
      <c r="E21" s="1">
        <v>16.0</v>
      </c>
      <c r="F21" s="1">
        <v>5.0</v>
      </c>
      <c r="G21" s="1">
        <v>70.0</v>
      </c>
      <c r="H21" s="1">
        <v>4.0</v>
      </c>
      <c r="I21" s="1">
        <v>0.9053</v>
      </c>
      <c r="J21" s="1">
        <v>0.7619</v>
      </c>
      <c r="K21" s="1">
        <v>0.8</v>
      </c>
      <c r="L21" s="1">
        <v>0.7805</v>
      </c>
      <c r="M21" s="1">
        <v>0.7921</v>
      </c>
      <c r="N21" s="1"/>
      <c r="O21" s="1"/>
      <c r="P21" s="1"/>
    </row>
    <row r="22">
      <c r="A22" s="1" t="s">
        <v>44</v>
      </c>
      <c r="B22" s="1">
        <v>4.0</v>
      </c>
      <c r="C22" s="1" t="s">
        <v>80</v>
      </c>
      <c r="D22" s="1">
        <v>65.0</v>
      </c>
      <c r="E22" s="1">
        <v>10.0</v>
      </c>
      <c r="F22" s="1">
        <v>2.0</v>
      </c>
      <c r="G22" s="1">
        <v>49.0</v>
      </c>
      <c r="H22" s="1">
        <v>4.0</v>
      </c>
      <c r="I22" s="1">
        <v>0.9077</v>
      </c>
      <c r="J22" s="1">
        <v>0.8333</v>
      </c>
      <c r="K22" s="1">
        <v>0.7143</v>
      </c>
      <c r="L22" s="1">
        <v>0.7692</v>
      </c>
      <c r="M22" s="1">
        <v>0.7353</v>
      </c>
      <c r="N22" s="1"/>
      <c r="O22" s="1"/>
      <c r="P22" s="1"/>
    </row>
    <row r="23">
      <c r="A23" s="1" t="s">
        <v>42</v>
      </c>
      <c r="B23" s="1">
        <v>5.0</v>
      </c>
      <c r="C23" s="1" t="s">
        <v>80</v>
      </c>
      <c r="D23" s="1">
        <v>16.0</v>
      </c>
      <c r="E23" s="1">
        <v>4.0</v>
      </c>
      <c r="F23" s="1">
        <v>1.0</v>
      </c>
      <c r="G23" s="1">
        <v>9.0</v>
      </c>
      <c r="H23" s="1">
        <v>2.0</v>
      </c>
      <c r="I23" s="1">
        <v>0.8125</v>
      </c>
      <c r="J23" s="1">
        <v>0.8</v>
      </c>
      <c r="K23" s="1">
        <v>0.6667</v>
      </c>
      <c r="L23" s="1">
        <v>0.7273</v>
      </c>
      <c r="M23" s="1">
        <v>0.6897</v>
      </c>
      <c r="N23" s="1"/>
      <c r="O23" s="1"/>
      <c r="P23" s="1"/>
    </row>
    <row r="24">
      <c r="A24" s="1" t="s">
        <v>47</v>
      </c>
      <c r="B24" s="1">
        <v>6.0</v>
      </c>
      <c r="C24" s="1" t="s">
        <v>80</v>
      </c>
      <c r="D24" s="1">
        <v>274.0</v>
      </c>
      <c r="E24" s="1">
        <v>33.0</v>
      </c>
      <c r="F24" s="1">
        <v>11.0</v>
      </c>
      <c r="G24" s="1">
        <v>213.0</v>
      </c>
      <c r="H24" s="1">
        <v>17.0</v>
      </c>
      <c r="I24" s="1">
        <v>0.8978</v>
      </c>
      <c r="J24" s="1">
        <v>0.75</v>
      </c>
      <c r="K24" s="1">
        <v>0.66</v>
      </c>
      <c r="L24" s="1">
        <v>0.7021</v>
      </c>
      <c r="M24" s="1">
        <v>0.6762</v>
      </c>
      <c r="N24" s="1"/>
      <c r="O24" s="1"/>
      <c r="P24" s="1"/>
    </row>
    <row r="25">
      <c r="A25" s="1" t="s">
        <v>53</v>
      </c>
      <c r="B25" s="1">
        <v>7.0</v>
      </c>
      <c r="C25" s="1" t="s">
        <v>80</v>
      </c>
      <c r="D25" s="1">
        <v>897.0</v>
      </c>
      <c r="E25" s="1">
        <v>116.0</v>
      </c>
      <c r="F25" s="1">
        <v>53.0</v>
      </c>
      <c r="G25" s="1">
        <v>676.0</v>
      </c>
      <c r="H25" s="1">
        <v>52.0</v>
      </c>
      <c r="I25" s="1">
        <v>0.8829</v>
      </c>
      <c r="J25" s="1">
        <v>0.6864</v>
      </c>
      <c r="K25" s="1">
        <v>0.6905</v>
      </c>
      <c r="L25" s="1">
        <v>0.6884</v>
      </c>
      <c r="M25" s="1">
        <v>0.6897</v>
      </c>
      <c r="N25" s="1"/>
      <c r="O25" s="1"/>
      <c r="P25" s="1"/>
    </row>
    <row r="26">
      <c r="A26" s="1" t="s">
        <v>51</v>
      </c>
      <c r="B26" s="1">
        <v>8.0</v>
      </c>
      <c r="C26" s="1" t="s">
        <v>80</v>
      </c>
      <c r="D26" s="1">
        <v>662.0</v>
      </c>
      <c r="E26" s="1">
        <v>88.0</v>
      </c>
      <c r="F26" s="1">
        <v>42.0</v>
      </c>
      <c r="G26" s="1">
        <v>489.0</v>
      </c>
      <c r="H26" s="1">
        <v>43.0</v>
      </c>
      <c r="I26" s="1">
        <v>0.8716</v>
      </c>
      <c r="J26" s="1">
        <v>0.6769</v>
      </c>
      <c r="K26" s="1">
        <v>0.6718</v>
      </c>
      <c r="L26" s="1">
        <v>0.6743</v>
      </c>
      <c r="M26" s="1">
        <v>0.6728</v>
      </c>
      <c r="N26" s="1"/>
      <c r="O26" s="1"/>
      <c r="P26" s="1"/>
    </row>
    <row r="27">
      <c r="A27" s="1" t="s">
        <v>55</v>
      </c>
      <c r="B27" s="1">
        <v>9.0</v>
      </c>
      <c r="C27" s="1" t="s">
        <v>80</v>
      </c>
      <c r="D27" s="1">
        <v>469.0</v>
      </c>
      <c r="E27" s="1">
        <v>34.0</v>
      </c>
      <c r="F27" s="1">
        <v>23.0</v>
      </c>
      <c r="G27" s="1">
        <v>402.0</v>
      </c>
      <c r="H27" s="1">
        <v>10.0</v>
      </c>
      <c r="I27" s="1">
        <v>0.9296</v>
      </c>
      <c r="J27" s="1">
        <v>0.5965</v>
      </c>
      <c r="K27" s="1">
        <v>0.7727</v>
      </c>
      <c r="L27" s="1">
        <v>0.6733</v>
      </c>
      <c r="M27" s="1">
        <v>0.7296</v>
      </c>
      <c r="N27" s="1"/>
      <c r="O27" s="1"/>
      <c r="P27" s="1"/>
    </row>
    <row r="28">
      <c r="A28" s="1" t="s">
        <v>54</v>
      </c>
      <c r="B28" s="1">
        <v>10.0</v>
      </c>
      <c r="C28" s="1" t="s">
        <v>80</v>
      </c>
      <c r="D28" s="1">
        <v>49.0</v>
      </c>
      <c r="E28" s="1">
        <v>3.0</v>
      </c>
      <c r="F28" s="1">
        <v>1.0</v>
      </c>
      <c r="G28" s="1">
        <v>43.0</v>
      </c>
      <c r="H28" s="1">
        <v>2.0</v>
      </c>
      <c r="I28" s="1">
        <v>0.9388</v>
      </c>
      <c r="J28" s="1">
        <v>0.75</v>
      </c>
      <c r="K28" s="1">
        <v>0.6</v>
      </c>
      <c r="L28" s="1">
        <v>0.6667</v>
      </c>
      <c r="M28" s="1">
        <v>0.625</v>
      </c>
      <c r="N28" s="1"/>
      <c r="O28" s="1"/>
      <c r="P28" s="1"/>
    </row>
    <row r="29">
      <c r="A29" s="1" t="s">
        <v>50</v>
      </c>
      <c r="B29" s="1">
        <v>11.0</v>
      </c>
      <c r="C29" s="1" t="s">
        <v>80</v>
      </c>
      <c r="D29" s="1">
        <v>679.0</v>
      </c>
      <c r="E29" s="1">
        <v>54.0</v>
      </c>
      <c r="F29" s="1">
        <v>18.0</v>
      </c>
      <c r="G29" s="1">
        <v>568.0</v>
      </c>
      <c r="H29" s="1">
        <v>39.0</v>
      </c>
      <c r="I29" s="1">
        <v>0.9161</v>
      </c>
      <c r="J29" s="1">
        <v>0.75</v>
      </c>
      <c r="K29" s="1">
        <v>0.5806</v>
      </c>
      <c r="L29" s="1">
        <v>0.6545</v>
      </c>
      <c r="M29" s="1">
        <v>0.6081</v>
      </c>
      <c r="N29" s="1"/>
      <c r="O29" s="1"/>
      <c r="P29" s="1"/>
    </row>
    <row r="30">
      <c r="A30" s="1" t="s">
        <v>52</v>
      </c>
      <c r="B30" s="1">
        <v>12.0</v>
      </c>
      <c r="C30" s="1" t="s">
        <v>80</v>
      </c>
      <c r="D30" s="1">
        <v>587.0</v>
      </c>
      <c r="E30" s="1">
        <v>60.0</v>
      </c>
      <c r="F30" s="1">
        <v>24.0</v>
      </c>
      <c r="G30" s="1">
        <v>463.0</v>
      </c>
      <c r="H30" s="1">
        <v>40.0</v>
      </c>
      <c r="I30" s="1">
        <v>0.891</v>
      </c>
      <c r="J30" s="1">
        <v>0.7143</v>
      </c>
      <c r="K30" s="1">
        <v>0.6</v>
      </c>
      <c r="L30" s="1">
        <v>0.6522</v>
      </c>
      <c r="M30" s="1">
        <v>0.6198</v>
      </c>
      <c r="N30" s="1"/>
      <c r="O30" s="1"/>
      <c r="P30" s="1"/>
    </row>
    <row r="31">
      <c r="A31" s="1" t="s">
        <v>56</v>
      </c>
      <c r="B31" s="1">
        <v>13.0</v>
      </c>
      <c r="C31" s="1" t="s">
        <v>80</v>
      </c>
      <c r="D31" s="1">
        <v>446.0</v>
      </c>
      <c r="E31" s="1">
        <v>30.0</v>
      </c>
      <c r="F31" s="1">
        <v>16.0</v>
      </c>
      <c r="G31" s="1">
        <v>382.0</v>
      </c>
      <c r="H31" s="1">
        <v>18.0</v>
      </c>
      <c r="I31" s="1">
        <v>0.9238</v>
      </c>
      <c r="J31" s="1">
        <v>0.6522</v>
      </c>
      <c r="K31" s="1">
        <v>0.625</v>
      </c>
      <c r="L31" s="1">
        <v>0.6383</v>
      </c>
      <c r="M31" s="1">
        <v>0.6303</v>
      </c>
      <c r="N31" s="1"/>
      <c r="O31" s="1"/>
      <c r="P31" s="1"/>
    </row>
    <row r="32">
      <c r="A32" s="1" t="s">
        <v>57</v>
      </c>
      <c r="B32" s="1">
        <v>14.0</v>
      </c>
      <c r="C32" s="1" t="s">
        <v>80</v>
      </c>
      <c r="D32" s="1">
        <v>153.0</v>
      </c>
      <c r="E32" s="1">
        <v>15.0</v>
      </c>
      <c r="F32" s="1">
        <v>7.0</v>
      </c>
      <c r="G32" s="1">
        <v>121.0</v>
      </c>
      <c r="H32" s="1">
        <v>10.0</v>
      </c>
      <c r="I32" s="1">
        <v>0.8889</v>
      </c>
      <c r="J32" s="1">
        <v>0.6818</v>
      </c>
      <c r="K32" s="1">
        <v>0.6</v>
      </c>
      <c r="L32" s="1">
        <v>0.6383</v>
      </c>
      <c r="M32" s="1">
        <v>0.6148</v>
      </c>
      <c r="N32" s="1"/>
      <c r="O32" s="1"/>
      <c r="P32" s="1"/>
    </row>
    <row r="33">
      <c r="A33" s="1" t="s">
        <v>43</v>
      </c>
      <c r="B33" s="1">
        <v>15.0</v>
      </c>
      <c r="C33" s="1" t="s">
        <v>80</v>
      </c>
      <c r="D33" s="1">
        <v>194.0</v>
      </c>
      <c r="E33" s="1">
        <v>27.0</v>
      </c>
      <c r="F33" s="1">
        <v>16.0</v>
      </c>
      <c r="G33" s="1">
        <v>132.0</v>
      </c>
      <c r="H33" s="1">
        <v>19.0</v>
      </c>
      <c r="I33" s="1">
        <v>0.8196</v>
      </c>
      <c r="J33" s="1">
        <v>0.6279</v>
      </c>
      <c r="K33" s="1">
        <v>0.587</v>
      </c>
      <c r="L33" s="1">
        <v>0.6067</v>
      </c>
      <c r="M33" s="1">
        <v>0.5947</v>
      </c>
      <c r="N33" s="1"/>
      <c r="O33" s="1"/>
      <c r="P33" s="1"/>
    </row>
    <row r="34">
      <c r="A34" s="1" t="s">
        <v>58</v>
      </c>
      <c r="B34" s="1">
        <v>16.0</v>
      </c>
      <c r="C34" s="1" t="s">
        <v>80</v>
      </c>
      <c r="D34" s="1">
        <v>117.0</v>
      </c>
      <c r="E34" s="1">
        <v>7.0</v>
      </c>
      <c r="F34" s="1">
        <v>8.0</v>
      </c>
      <c r="G34" s="1">
        <v>92.0</v>
      </c>
      <c r="H34" s="1">
        <v>10.0</v>
      </c>
      <c r="I34" s="1">
        <v>0.8462</v>
      </c>
      <c r="J34" s="1">
        <v>0.4667</v>
      </c>
      <c r="K34" s="1">
        <v>0.4118</v>
      </c>
      <c r="L34" s="1">
        <v>0.4375</v>
      </c>
      <c r="M34" s="1">
        <v>0.4217</v>
      </c>
      <c r="N34" s="1"/>
      <c r="O34" s="1"/>
      <c r="P34" s="1"/>
    </row>
    <row r="35">
      <c r="A35" s="1" t="s">
        <v>46</v>
      </c>
      <c r="B35" s="1">
        <v>17.0</v>
      </c>
      <c r="C35" s="1" t="s">
        <v>80</v>
      </c>
      <c r="D35" s="1">
        <v>89.0</v>
      </c>
      <c r="E35" s="1">
        <v>1.0</v>
      </c>
      <c r="F35" s="1">
        <v>1.0</v>
      </c>
      <c r="G35" s="1">
        <v>83.0</v>
      </c>
      <c r="H35" s="1">
        <v>4.0</v>
      </c>
      <c r="I35" s="1">
        <v>0.9438</v>
      </c>
      <c r="J35" s="1">
        <v>0.5</v>
      </c>
      <c r="K35" s="1">
        <v>0.2</v>
      </c>
      <c r="L35" s="1">
        <v>0.2857</v>
      </c>
      <c r="M35" s="1">
        <v>0.2273</v>
      </c>
      <c r="N35" s="1"/>
      <c r="O35" s="1"/>
      <c r="P35" s="1"/>
    </row>
    <row r="36">
      <c r="A36" s="1" t="s">
        <v>44</v>
      </c>
      <c r="B36" s="1">
        <v>1.0</v>
      </c>
      <c r="C36" s="1" t="s">
        <v>81</v>
      </c>
      <c r="D36" s="1">
        <v>65.0</v>
      </c>
      <c r="E36" s="1">
        <v>10.0</v>
      </c>
      <c r="F36" s="1">
        <v>1.0</v>
      </c>
      <c r="G36" s="1">
        <v>50.0</v>
      </c>
      <c r="H36" s="1">
        <v>4.0</v>
      </c>
      <c r="I36" s="1">
        <v>0.9231</v>
      </c>
      <c r="J36" s="1">
        <v>0.9091</v>
      </c>
      <c r="K36" s="1">
        <v>0.7143</v>
      </c>
      <c r="L36" s="1">
        <v>0.8</v>
      </c>
      <c r="M36" s="1">
        <v>0.7463</v>
      </c>
      <c r="N36" s="1"/>
      <c r="O36" s="1"/>
      <c r="P36" s="1"/>
    </row>
    <row r="37">
      <c r="A37" s="1" t="s">
        <v>45</v>
      </c>
      <c r="B37" s="1">
        <v>2.0</v>
      </c>
      <c r="C37" s="1" t="s">
        <v>81</v>
      </c>
      <c r="D37" s="1">
        <v>49.0</v>
      </c>
      <c r="E37" s="1">
        <v>9.0</v>
      </c>
      <c r="F37" s="1">
        <v>3.0</v>
      </c>
      <c r="G37" s="1">
        <v>35.0</v>
      </c>
      <c r="H37" s="1">
        <v>2.0</v>
      </c>
      <c r="I37" s="1">
        <v>0.898</v>
      </c>
      <c r="J37" s="1">
        <v>0.75</v>
      </c>
      <c r="K37" s="1">
        <v>0.8182</v>
      </c>
      <c r="L37" s="1">
        <v>0.7826</v>
      </c>
      <c r="M37" s="1">
        <v>0.8036</v>
      </c>
      <c r="N37" s="1"/>
      <c r="O37" s="1"/>
      <c r="P37" s="1"/>
    </row>
    <row r="38">
      <c r="A38" s="1" t="s">
        <v>49</v>
      </c>
      <c r="B38" s="1">
        <v>3.0</v>
      </c>
      <c r="C38" s="1" t="s">
        <v>81</v>
      </c>
      <c r="D38" s="1">
        <v>95.0</v>
      </c>
      <c r="E38" s="1">
        <v>14.0</v>
      </c>
      <c r="F38" s="1">
        <v>2.0</v>
      </c>
      <c r="G38" s="1">
        <v>73.0</v>
      </c>
      <c r="H38" s="1">
        <v>6.0</v>
      </c>
      <c r="I38" s="1">
        <v>0.9158</v>
      </c>
      <c r="J38" s="1">
        <v>0.875</v>
      </c>
      <c r="K38" s="1">
        <v>0.7</v>
      </c>
      <c r="L38" s="1">
        <v>0.7778</v>
      </c>
      <c r="M38" s="1">
        <v>0.7292</v>
      </c>
      <c r="N38" s="1"/>
      <c r="O38" s="1"/>
      <c r="P38" s="1"/>
    </row>
    <row r="39">
      <c r="A39" s="1" t="s">
        <v>53</v>
      </c>
      <c r="B39" s="1">
        <v>4.0</v>
      </c>
      <c r="C39" s="1" t="s">
        <v>81</v>
      </c>
      <c r="D39" s="1">
        <v>897.0</v>
      </c>
      <c r="E39" s="1">
        <v>117.0</v>
      </c>
      <c r="F39" s="1">
        <v>52.0</v>
      </c>
      <c r="G39" s="1">
        <v>677.0</v>
      </c>
      <c r="H39" s="1">
        <v>51.0</v>
      </c>
      <c r="I39" s="1">
        <v>0.8852</v>
      </c>
      <c r="J39" s="1">
        <v>0.6923</v>
      </c>
      <c r="K39" s="1">
        <v>0.6964</v>
      </c>
      <c r="L39" s="1">
        <v>0.6944</v>
      </c>
      <c r="M39" s="1">
        <v>0.6956</v>
      </c>
      <c r="N39" s="1"/>
      <c r="O39" s="1"/>
      <c r="P39" s="1"/>
    </row>
    <row r="40">
      <c r="A40" s="1" t="s">
        <v>43</v>
      </c>
      <c r="B40" s="1">
        <v>5.0</v>
      </c>
      <c r="C40" s="1" t="s">
        <v>81</v>
      </c>
      <c r="D40" s="1">
        <v>194.0</v>
      </c>
      <c r="E40" s="1">
        <v>30.0</v>
      </c>
      <c r="F40" s="1">
        <v>12.0</v>
      </c>
      <c r="G40" s="1">
        <v>136.0</v>
      </c>
      <c r="H40" s="1">
        <v>16.0</v>
      </c>
      <c r="I40" s="1">
        <v>0.8557</v>
      </c>
      <c r="J40" s="1">
        <v>0.7143</v>
      </c>
      <c r="K40" s="1">
        <v>0.6522</v>
      </c>
      <c r="L40" s="1">
        <v>0.6818</v>
      </c>
      <c r="M40" s="1">
        <v>0.6637</v>
      </c>
    </row>
    <row r="41">
      <c r="A41" s="1" t="s">
        <v>47</v>
      </c>
      <c r="B41" s="1">
        <v>6.0</v>
      </c>
      <c r="C41" s="1" t="s">
        <v>81</v>
      </c>
      <c r="D41" s="1">
        <v>274.0</v>
      </c>
      <c r="E41" s="1">
        <v>35.0</v>
      </c>
      <c r="F41" s="1">
        <v>19.0</v>
      </c>
      <c r="G41" s="1">
        <v>205.0</v>
      </c>
      <c r="H41" s="1">
        <v>15.0</v>
      </c>
      <c r="I41" s="1">
        <v>0.8759</v>
      </c>
      <c r="J41" s="1">
        <v>0.6481</v>
      </c>
      <c r="K41" s="1">
        <v>0.7</v>
      </c>
      <c r="L41" s="1">
        <v>0.6731</v>
      </c>
      <c r="M41" s="1">
        <v>0.689</v>
      </c>
    </row>
    <row r="42">
      <c r="A42" s="1" t="s">
        <v>48</v>
      </c>
      <c r="B42" s="1">
        <v>7.0</v>
      </c>
      <c r="C42" s="1" t="s">
        <v>81</v>
      </c>
      <c r="D42" s="1">
        <v>26.0</v>
      </c>
      <c r="E42" s="1">
        <v>3.0</v>
      </c>
      <c r="F42" s="1">
        <v>1.0</v>
      </c>
      <c r="G42" s="1">
        <v>20.0</v>
      </c>
      <c r="H42" s="1">
        <v>2.0</v>
      </c>
      <c r="I42" s="1">
        <v>0.8846</v>
      </c>
      <c r="J42" s="1">
        <v>0.75</v>
      </c>
      <c r="K42" s="1">
        <v>0.6</v>
      </c>
      <c r="L42" s="1">
        <v>0.6667</v>
      </c>
      <c r="M42" s="1">
        <v>0.625</v>
      </c>
    </row>
    <row r="43">
      <c r="A43" s="1" t="s">
        <v>50</v>
      </c>
      <c r="B43" s="1">
        <v>8.0</v>
      </c>
      <c r="C43" s="1" t="s">
        <v>81</v>
      </c>
      <c r="D43" s="1">
        <v>679.0</v>
      </c>
      <c r="E43" s="1">
        <v>56.0</v>
      </c>
      <c r="F43" s="1">
        <v>19.0</v>
      </c>
      <c r="G43" s="1">
        <v>567.0</v>
      </c>
      <c r="H43" s="1">
        <v>37.0</v>
      </c>
      <c r="I43" s="1">
        <v>0.9175</v>
      </c>
      <c r="J43" s="1">
        <v>0.7467</v>
      </c>
      <c r="K43" s="1">
        <v>0.6022</v>
      </c>
      <c r="L43" s="1">
        <v>0.6667</v>
      </c>
      <c r="M43" s="1">
        <v>0.6264</v>
      </c>
    </row>
    <row r="44">
      <c r="A44" s="1" t="s">
        <v>54</v>
      </c>
      <c r="B44" s="1">
        <v>9.0</v>
      </c>
      <c r="C44" s="1" t="s">
        <v>81</v>
      </c>
      <c r="D44" s="1">
        <v>49.0</v>
      </c>
      <c r="E44" s="1">
        <v>3.0</v>
      </c>
      <c r="F44" s="1">
        <v>1.0</v>
      </c>
      <c r="G44" s="1">
        <v>43.0</v>
      </c>
      <c r="H44" s="1">
        <v>2.0</v>
      </c>
      <c r="I44" s="1">
        <v>0.9388</v>
      </c>
      <c r="J44" s="1">
        <v>0.75</v>
      </c>
      <c r="K44" s="1">
        <v>0.6</v>
      </c>
      <c r="L44" s="1">
        <v>0.6667</v>
      </c>
      <c r="M44" s="1">
        <v>0.625</v>
      </c>
    </row>
    <row r="45">
      <c r="A45" s="1" t="s">
        <v>51</v>
      </c>
      <c r="B45" s="1">
        <v>10.0</v>
      </c>
      <c r="C45" s="1" t="s">
        <v>81</v>
      </c>
      <c r="D45" s="1">
        <v>662.0</v>
      </c>
      <c r="E45" s="1">
        <v>82.0</v>
      </c>
      <c r="F45" s="1">
        <v>35.0</v>
      </c>
      <c r="G45" s="1">
        <v>496.0</v>
      </c>
      <c r="H45" s="1">
        <v>49.0</v>
      </c>
      <c r="I45" s="1">
        <v>0.8731</v>
      </c>
      <c r="J45" s="1">
        <v>0.7009</v>
      </c>
      <c r="K45" s="1">
        <v>0.626</v>
      </c>
      <c r="L45" s="1">
        <v>0.6613</v>
      </c>
      <c r="M45" s="1">
        <v>0.6396</v>
      </c>
    </row>
    <row r="46">
      <c r="A46" s="1" t="s">
        <v>52</v>
      </c>
      <c r="B46" s="1">
        <v>11.0</v>
      </c>
      <c r="C46" s="1" t="s">
        <v>81</v>
      </c>
      <c r="D46" s="1">
        <v>587.0</v>
      </c>
      <c r="E46" s="1">
        <v>61.0</v>
      </c>
      <c r="F46" s="1">
        <v>33.0</v>
      </c>
      <c r="G46" s="1">
        <v>454.0</v>
      </c>
      <c r="H46" s="1">
        <v>39.0</v>
      </c>
      <c r="I46" s="1">
        <v>0.8773</v>
      </c>
      <c r="J46" s="1">
        <v>0.6489</v>
      </c>
      <c r="K46" s="1">
        <v>0.61</v>
      </c>
      <c r="L46" s="1">
        <v>0.6289</v>
      </c>
      <c r="M46" s="1">
        <v>0.6174</v>
      </c>
    </row>
    <row r="47">
      <c r="A47" s="1" t="s">
        <v>56</v>
      </c>
      <c r="B47" s="1">
        <v>12.0</v>
      </c>
      <c r="C47" s="1" t="s">
        <v>81</v>
      </c>
      <c r="D47" s="1">
        <v>446.0</v>
      </c>
      <c r="E47" s="1">
        <v>28.0</v>
      </c>
      <c r="F47" s="1">
        <v>16.0</v>
      </c>
      <c r="G47" s="1">
        <v>382.0</v>
      </c>
      <c r="H47" s="1">
        <v>20.0</v>
      </c>
      <c r="I47" s="1">
        <v>0.9193</v>
      </c>
      <c r="J47" s="1">
        <v>0.6364</v>
      </c>
      <c r="K47" s="1">
        <v>0.5833</v>
      </c>
      <c r="L47" s="1">
        <v>0.6087</v>
      </c>
      <c r="M47" s="1">
        <v>0.5932</v>
      </c>
    </row>
    <row r="48">
      <c r="A48" s="1" t="s">
        <v>55</v>
      </c>
      <c r="B48" s="1">
        <v>13.0</v>
      </c>
      <c r="C48" s="1" t="s">
        <v>81</v>
      </c>
      <c r="D48" s="1">
        <v>469.0</v>
      </c>
      <c r="E48" s="1">
        <v>30.0</v>
      </c>
      <c r="F48" s="1">
        <v>28.0</v>
      </c>
      <c r="G48" s="1">
        <v>397.0</v>
      </c>
      <c r="H48" s="1">
        <v>14.0</v>
      </c>
      <c r="I48" s="1">
        <v>0.9104</v>
      </c>
      <c r="J48" s="1">
        <v>0.5172</v>
      </c>
      <c r="K48" s="1">
        <v>0.6818</v>
      </c>
      <c r="L48" s="1">
        <v>0.5882</v>
      </c>
      <c r="M48" s="1">
        <v>0.641</v>
      </c>
    </row>
    <row r="49">
      <c r="A49" s="1" t="s">
        <v>58</v>
      </c>
      <c r="B49" s="1">
        <v>14.0</v>
      </c>
      <c r="C49" s="1" t="s">
        <v>81</v>
      </c>
      <c r="D49" s="1">
        <v>117.0</v>
      </c>
      <c r="E49" s="1">
        <v>8.0</v>
      </c>
      <c r="F49" s="1">
        <v>5.0</v>
      </c>
      <c r="G49" s="1">
        <v>95.0</v>
      </c>
      <c r="H49" s="1">
        <v>9.0</v>
      </c>
      <c r="I49" s="1">
        <v>0.8803</v>
      </c>
      <c r="J49" s="1">
        <v>0.6154</v>
      </c>
      <c r="K49" s="1">
        <v>0.4706</v>
      </c>
      <c r="L49" s="1">
        <v>0.5333</v>
      </c>
      <c r="M49" s="1">
        <v>0.4938</v>
      </c>
    </row>
    <row r="50">
      <c r="A50" s="1" t="s">
        <v>42</v>
      </c>
      <c r="B50" s="1">
        <v>15.0</v>
      </c>
      <c r="C50" s="1" t="s">
        <v>81</v>
      </c>
      <c r="D50" s="1">
        <v>16.0</v>
      </c>
      <c r="E50" s="1">
        <v>2.0</v>
      </c>
      <c r="F50" s="1">
        <v>0.0</v>
      </c>
      <c r="G50" s="1">
        <v>10.0</v>
      </c>
      <c r="H50" s="1">
        <v>4.0</v>
      </c>
      <c r="I50" s="1">
        <v>0.75</v>
      </c>
      <c r="J50" s="1">
        <v>1.0</v>
      </c>
      <c r="K50" s="1">
        <v>0.3333</v>
      </c>
      <c r="L50" s="1">
        <v>0.5</v>
      </c>
      <c r="M50" s="1">
        <v>0.3846</v>
      </c>
    </row>
    <row r="51">
      <c r="A51" s="1" t="s">
        <v>46</v>
      </c>
      <c r="B51" s="1">
        <v>16.0</v>
      </c>
      <c r="C51" s="1" t="s">
        <v>81</v>
      </c>
      <c r="D51" s="1">
        <v>89.0</v>
      </c>
      <c r="E51" s="1">
        <v>2.0</v>
      </c>
      <c r="F51" s="1">
        <v>1.0</v>
      </c>
      <c r="G51" s="1">
        <v>83.0</v>
      </c>
      <c r="H51" s="1">
        <v>3.0</v>
      </c>
      <c r="I51" s="1">
        <v>0.9551</v>
      </c>
      <c r="J51" s="1">
        <v>0.6667</v>
      </c>
      <c r="K51" s="1">
        <v>0.4</v>
      </c>
      <c r="L51" s="1">
        <v>0.5</v>
      </c>
      <c r="M51" s="1">
        <v>0.4348</v>
      </c>
    </row>
    <row r="52">
      <c r="A52" s="1" t="s">
        <v>57</v>
      </c>
      <c r="B52" s="1">
        <v>17.0</v>
      </c>
      <c r="C52" s="1" t="s">
        <v>81</v>
      </c>
      <c r="D52" s="1">
        <v>153.0</v>
      </c>
      <c r="E52" s="1">
        <v>12.0</v>
      </c>
      <c r="F52" s="1">
        <v>17.0</v>
      </c>
      <c r="G52" s="1">
        <v>111.0</v>
      </c>
      <c r="H52" s="1">
        <v>13.0</v>
      </c>
      <c r="I52" s="1">
        <v>0.8039</v>
      </c>
      <c r="J52" s="1">
        <v>0.4138</v>
      </c>
      <c r="K52" s="1">
        <v>0.48</v>
      </c>
      <c r="L52" s="1">
        <v>0.4444</v>
      </c>
      <c r="M52" s="1">
        <v>0.4651</v>
      </c>
    </row>
    <row r="53">
      <c r="A53" s="1" t="s">
        <v>45</v>
      </c>
      <c r="B53" s="1">
        <v>1.0</v>
      </c>
      <c r="C53" s="1" t="s">
        <v>82</v>
      </c>
      <c r="D53" s="1">
        <v>49.0</v>
      </c>
      <c r="E53" s="1">
        <v>9.0</v>
      </c>
      <c r="F53" s="1">
        <v>1.0</v>
      </c>
      <c r="G53" s="1">
        <v>37.0</v>
      </c>
      <c r="H53" s="1">
        <v>2.0</v>
      </c>
      <c r="I53" s="1">
        <v>0.9388</v>
      </c>
      <c r="J53" s="1">
        <v>0.9</v>
      </c>
      <c r="K53" s="1">
        <v>0.8182</v>
      </c>
      <c r="L53" s="1">
        <v>0.8571</v>
      </c>
      <c r="M53" s="1">
        <v>0.8333</v>
      </c>
    </row>
    <row r="54">
      <c r="A54" s="1" t="s">
        <v>48</v>
      </c>
      <c r="B54" s="1">
        <v>2.0</v>
      </c>
      <c r="C54" s="1" t="s">
        <v>82</v>
      </c>
      <c r="D54" s="1">
        <v>26.0</v>
      </c>
      <c r="E54" s="1">
        <v>4.0</v>
      </c>
      <c r="F54" s="1">
        <v>1.0</v>
      </c>
      <c r="G54" s="1">
        <v>20.0</v>
      </c>
      <c r="H54" s="1">
        <v>1.0</v>
      </c>
      <c r="I54" s="1">
        <v>0.9231</v>
      </c>
      <c r="J54" s="1">
        <v>0.8</v>
      </c>
      <c r="K54" s="1">
        <v>0.8</v>
      </c>
      <c r="L54" s="1">
        <v>0.8</v>
      </c>
      <c r="M54" s="1">
        <v>0.8</v>
      </c>
    </row>
    <row r="55">
      <c r="A55" s="1" t="s">
        <v>44</v>
      </c>
      <c r="B55" s="1">
        <v>3.0</v>
      </c>
      <c r="C55" s="1" t="s">
        <v>82</v>
      </c>
      <c r="D55" s="1">
        <v>65.0</v>
      </c>
      <c r="E55" s="1">
        <v>9.0</v>
      </c>
      <c r="F55" s="1">
        <v>0.0</v>
      </c>
      <c r="G55" s="1">
        <v>51.0</v>
      </c>
      <c r="H55" s="1">
        <v>5.0</v>
      </c>
      <c r="I55" s="1">
        <v>0.9231</v>
      </c>
      <c r="J55" s="1">
        <v>1.0</v>
      </c>
      <c r="K55" s="1">
        <v>0.6429</v>
      </c>
      <c r="L55" s="1">
        <v>0.7826</v>
      </c>
      <c r="M55" s="1">
        <v>0.6923</v>
      </c>
    </row>
    <row r="56">
      <c r="A56" s="1" t="s">
        <v>49</v>
      </c>
      <c r="B56" s="1">
        <v>4.0</v>
      </c>
      <c r="C56" s="1" t="s">
        <v>82</v>
      </c>
      <c r="D56" s="1">
        <v>95.0</v>
      </c>
      <c r="E56" s="1">
        <v>14.0</v>
      </c>
      <c r="F56" s="1">
        <v>5.0</v>
      </c>
      <c r="G56" s="1">
        <v>70.0</v>
      </c>
      <c r="H56" s="1">
        <v>6.0</v>
      </c>
      <c r="I56" s="1">
        <v>0.8842</v>
      </c>
      <c r="J56" s="1">
        <v>0.7368</v>
      </c>
      <c r="K56" s="1">
        <v>0.7</v>
      </c>
      <c r="L56" s="1">
        <v>0.7179</v>
      </c>
      <c r="M56" s="1">
        <v>0.7071</v>
      </c>
    </row>
    <row r="57">
      <c r="A57" s="1" t="s">
        <v>47</v>
      </c>
      <c r="B57" s="1">
        <v>5.0</v>
      </c>
      <c r="C57" s="1" t="s">
        <v>82</v>
      </c>
      <c r="D57" s="1">
        <v>274.0</v>
      </c>
      <c r="E57" s="1">
        <v>36.0</v>
      </c>
      <c r="F57" s="1">
        <v>16.0</v>
      </c>
      <c r="G57" s="1">
        <v>208.0</v>
      </c>
      <c r="H57" s="1">
        <v>14.0</v>
      </c>
      <c r="I57" s="1">
        <v>0.8905</v>
      </c>
      <c r="J57" s="1">
        <v>0.6923</v>
      </c>
      <c r="K57" s="1">
        <v>0.72</v>
      </c>
      <c r="L57" s="1">
        <v>0.7059</v>
      </c>
      <c r="M57" s="1">
        <v>0.7143</v>
      </c>
    </row>
    <row r="58">
      <c r="A58" s="1" t="s">
        <v>53</v>
      </c>
      <c r="B58" s="1">
        <v>6.0</v>
      </c>
      <c r="C58" s="1" t="s">
        <v>82</v>
      </c>
      <c r="D58" s="1">
        <v>897.0</v>
      </c>
      <c r="E58" s="1">
        <v>116.0</v>
      </c>
      <c r="F58" s="1">
        <v>55.0</v>
      </c>
      <c r="G58" s="1">
        <v>674.0</v>
      </c>
      <c r="H58" s="1">
        <v>52.0</v>
      </c>
      <c r="I58" s="1">
        <v>0.8807</v>
      </c>
      <c r="J58" s="1">
        <v>0.6784</v>
      </c>
      <c r="K58" s="1">
        <v>0.6905</v>
      </c>
      <c r="L58" s="1">
        <v>0.6844</v>
      </c>
      <c r="M58" s="1">
        <v>0.688</v>
      </c>
    </row>
    <row r="59">
      <c r="A59" s="1" t="s">
        <v>56</v>
      </c>
      <c r="B59" s="1">
        <v>7.0</v>
      </c>
      <c r="C59" s="1" t="s">
        <v>82</v>
      </c>
      <c r="D59" s="1">
        <v>446.0</v>
      </c>
      <c r="E59" s="1">
        <v>32.0</v>
      </c>
      <c r="F59" s="1">
        <v>14.0</v>
      </c>
      <c r="G59" s="1">
        <v>384.0</v>
      </c>
      <c r="H59" s="1">
        <v>16.0</v>
      </c>
      <c r="I59" s="1">
        <v>0.9327</v>
      </c>
      <c r="J59" s="1">
        <v>0.6957</v>
      </c>
      <c r="K59" s="1">
        <v>0.6667</v>
      </c>
      <c r="L59" s="1">
        <v>0.6809</v>
      </c>
      <c r="M59" s="1">
        <v>0.6723</v>
      </c>
    </row>
    <row r="60">
      <c r="A60" s="1" t="s">
        <v>50</v>
      </c>
      <c r="B60" s="1">
        <v>8.0</v>
      </c>
      <c r="C60" s="1" t="s">
        <v>82</v>
      </c>
      <c r="D60" s="1">
        <v>679.0</v>
      </c>
      <c r="E60" s="1">
        <v>57.0</v>
      </c>
      <c r="F60" s="1">
        <v>19.0</v>
      </c>
      <c r="G60" s="1">
        <v>567.0</v>
      </c>
      <c r="H60" s="1">
        <v>36.0</v>
      </c>
      <c r="I60" s="1">
        <v>0.919</v>
      </c>
      <c r="J60" s="1">
        <v>0.75</v>
      </c>
      <c r="K60" s="1">
        <v>0.6129</v>
      </c>
      <c r="L60" s="1">
        <v>0.6746</v>
      </c>
      <c r="M60" s="1">
        <v>0.6362</v>
      </c>
    </row>
    <row r="61">
      <c r="A61" s="1" t="s">
        <v>52</v>
      </c>
      <c r="B61" s="1">
        <v>9.0</v>
      </c>
      <c r="C61" s="1" t="s">
        <v>82</v>
      </c>
      <c r="D61" s="1">
        <v>587.0</v>
      </c>
      <c r="E61" s="1">
        <v>61.0</v>
      </c>
      <c r="F61" s="1">
        <v>27.0</v>
      </c>
      <c r="G61" s="1">
        <v>460.0</v>
      </c>
      <c r="H61" s="1">
        <v>39.0</v>
      </c>
      <c r="I61" s="1">
        <v>0.8876</v>
      </c>
      <c r="J61" s="1">
        <v>0.6932</v>
      </c>
      <c r="K61" s="1">
        <v>0.61</v>
      </c>
      <c r="L61" s="1">
        <v>0.6489</v>
      </c>
      <c r="M61" s="1">
        <v>0.625</v>
      </c>
    </row>
    <row r="62">
      <c r="A62" s="1" t="s">
        <v>51</v>
      </c>
      <c r="B62" s="1">
        <v>10.0</v>
      </c>
      <c r="C62" s="1" t="s">
        <v>82</v>
      </c>
      <c r="D62" s="1">
        <v>662.0</v>
      </c>
      <c r="E62" s="1">
        <v>81.0</v>
      </c>
      <c r="F62" s="1">
        <v>39.0</v>
      </c>
      <c r="G62" s="1">
        <v>492.0</v>
      </c>
      <c r="H62" s="1">
        <v>50.0</v>
      </c>
      <c r="I62" s="1">
        <v>0.8656</v>
      </c>
      <c r="J62" s="1">
        <v>0.675</v>
      </c>
      <c r="K62" s="1">
        <v>0.6183</v>
      </c>
      <c r="L62" s="1">
        <v>0.6454</v>
      </c>
      <c r="M62" s="1">
        <v>0.6289</v>
      </c>
    </row>
    <row r="63">
      <c r="A63" s="1" t="s">
        <v>43</v>
      </c>
      <c r="B63" s="1">
        <v>11.0</v>
      </c>
      <c r="C63" s="1" t="s">
        <v>82</v>
      </c>
      <c r="D63" s="1">
        <v>194.0</v>
      </c>
      <c r="E63" s="1">
        <v>27.0</v>
      </c>
      <c r="F63" s="1">
        <v>13.0</v>
      </c>
      <c r="G63" s="1">
        <v>135.0</v>
      </c>
      <c r="H63" s="1">
        <v>19.0</v>
      </c>
      <c r="I63" s="1">
        <v>0.8351</v>
      </c>
      <c r="J63" s="1">
        <v>0.675</v>
      </c>
      <c r="K63" s="1">
        <v>0.587</v>
      </c>
      <c r="L63" s="1">
        <v>0.6279</v>
      </c>
      <c r="M63" s="1">
        <v>0.6027</v>
      </c>
    </row>
    <row r="64">
      <c r="A64" s="1" t="s">
        <v>57</v>
      </c>
      <c r="B64" s="1">
        <v>12.0</v>
      </c>
      <c r="C64" s="1" t="s">
        <v>82</v>
      </c>
      <c r="D64" s="1">
        <v>153.0</v>
      </c>
      <c r="E64" s="1">
        <v>15.0</v>
      </c>
      <c r="F64" s="1">
        <v>8.0</v>
      </c>
      <c r="G64" s="1">
        <v>120.0</v>
      </c>
      <c r="H64" s="1">
        <v>10.0</v>
      </c>
      <c r="I64" s="1">
        <v>0.8824</v>
      </c>
      <c r="J64" s="1">
        <v>0.6522</v>
      </c>
      <c r="K64" s="1">
        <v>0.6</v>
      </c>
      <c r="L64" s="1">
        <v>0.625</v>
      </c>
      <c r="M64" s="1">
        <v>0.6098</v>
      </c>
    </row>
    <row r="65">
      <c r="A65" s="1" t="s">
        <v>55</v>
      </c>
      <c r="B65" s="1">
        <v>13.0</v>
      </c>
      <c r="C65" s="1" t="s">
        <v>82</v>
      </c>
      <c r="D65" s="1">
        <v>469.0</v>
      </c>
      <c r="E65" s="1">
        <v>32.0</v>
      </c>
      <c r="F65" s="1">
        <v>27.0</v>
      </c>
      <c r="G65" s="1">
        <v>398.0</v>
      </c>
      <c r="H65" s="1">
        <v>12.0</v>
      </c>
      <c r="I65" s="1">
        <v>0.9168</v>
      </c>
      <c r="J65" s="1">
        <v>0.5424</v>
      </c>
      <c r="K65" s="1">
        <v>0.7273</v>
      </c>
      <c r="L65" s="1">
        <v>0.6214</v>
      </c>
      <c r="M65" s="1">
        <v>0.6809</v>
      </c>
    </row>
    <row r="66">
      <c r="A66" s="1" t="s">
        <v>54</v>
      </c>
      <c r="B66" s="1">
        <v>14.0</v>
      </c>
      <c r="C66" s="1" t="s">
        <v>82</v>
      </c>
      <c r="D66" s="1">
        <v>49.0</v>
      </c>
      <c r="E66" s="1">
        <v>3.0</v>
      </c>
      <c r="F66" s="1">
        <v>3.0</v>
      </c>
      <c r="G66" s="1">
        <v>41.0</v>
      </c>
      <c r="H66" s="1">
        <v>2.0</v>
      </c>
      <c r="I66" s="1">
        <v>0.898</v>
      </c>
      <c r="J66" s="1">
        <v>0.5</v>
      </c>
      <c r="K66" s="1">
        <v>0.6</v>
      </c>
      <c r="L66" s="1">
        <v>0.5455</v>
      </c>
      <c r="M66" s="1">
        <v>0.5769</v>
      </c>
    </row>
    <row r="67">
      <c r="A67" s="1" t="s">
        <v>42</v>
      </c>
      <c r="B67" s="1">
        <v>15.0</v>
      </c>
      <c r="C67" s="1" t="s">
        <v>82</v>
      </c>
      <c r="D67" s="1">
        <v>16.0</v>
      </c>
      <c r="E67" s="1">
        <v>2.0</v>
      </c>
      <c r="F67" s="1">
        <v>0.0</v>
      </c>
      <c r="G67" s="1">
        <v>10.0</v>
      </c>
      <c r="H67" s="1">
        <v>4.0</v>
      </c>
      <c r="I67" s="1">
        <v>0.75</v>
      </c>
      <c r="J67" s="1">
        <v>1.0</v>
      </c>
      <c r="K67" s="1">
        <v>0.3333</v>
      </c>
      <c r="L67" s="1">
        <v>0.5</v>
      </c>
      <c r="M67" s="1">
        <v>0.3846</v>
      </c>
    </row>
    <row r="68">
      <c r="A68" s="1" t="s">
        <v>58</v>
      </c>
      <c r="B68" s="1">
        <v>16.0</v>
      </c>
      <c r="C68" s="1" t="s">
        <v>82</v>
      </c>
      <c r="D68" s="1">
        <v>117.0</v>
      </c>
      <c r="E68" s="1">
        <v>6.0</v>
      </c>
      <c r="F68" s="1">
        <v>8.0</v>
      </c>
      <c r="G68" s="1">
        <v>92.0</v>
      </c>
      <c r="H68" s="1">
        <v>11.0</v>
      </c>
      <c r="I68" s="1">
        <v>0.8376</v>
      </c>
      <c r="J68" s="1">
        <v>0.4286</v>
      </c>
      <c r="K68" s="1">
        <v>0.3529</v>
      </c>
      <c r="L68" s="1">
        <v>0.3871</v>
      </c>
      <c r="M68" s="1">
        <v>0.3659</v>
      </c>
    </row>
    <row r="69">
      <c r="A69" s="1" t="s">
        <v>46</v>
      </c>
      <c r="B69" s="1">
        <v>17.0</v>
      </c>
      <c r="C69" s="1" t="s">
        <v>82</v>
      </c>
      <c r="D69" s="1">
        <v>89.0</v>
      </c>
      <c r="E69" s="1">
        <v>1.0</v>
      </c>
      <c r="F69" s="1">
        <v>1.0</v>
      </c>
      <c r="G69" s="1">
        <v>83.0</v>
      </c>
      <c r="H69" s="1">
        <v>4.0</v>
      </c>
      <c r="I69" s="1">
        <v>0.9438</v>
      </c>
      <c r="J69" s="1">
        <v>0.5</v>
      </c>
      <c r="K69" s="1">
        <v>0.2</v>
      </c>
      <c r="L69" s="1">
        <v>0.2857</v>
      </c>
      <c r="M69" s="1">
        <v>0.2273</v>
      </c>
    </row>
    <row r="70">
      <c r="A70" s="1" t="s">
        <v>48</v>
      </c>
      <c r="B70" s="1">
        <v>1.0</v>
      </c>
      <c r="C70" s="1" t="s">
        <v>83</v>
      </c>
      <c r="D70" s="1">
        <v>26.0</v>
      </c>
      <c r="E70" s="1">
        <v>4.0</v>
      </c>
      <c r="F70" s="1">
        <v>1.0</v>
      </c>
      <c r="G70" s="1">
        <v>20.0</v>
      </c>
      <c r="H70" s="1">
        <v>1.0</v>
      </c>
      <c r="I70" s="1">
        <v>0.9231</v>
      </c>
      <c r="J70" s="1">
        <v>0.8</v>
      </c>
      <c r="K70" s="1">
        <v>0.8</v>
      </c>
      <c r="L70" s="1">
        <v>0.8</v>
      </c>
      <c r="M70" s="1">
        <v>0.8</v>
      </c>
    </row>
    <row r="71">
      <c r="A71" s="1" t="s">
        <v>44</v>
      </c>
      <c r="B71" s="1">
        <v>2.0</v>
      </c>
      <c r="C71" s="1" t="s">
        <v>83</v>
      </c>
      <c r="D71" s="1">
        <v>65.0</v>
      </c>
      <c r="E71" s="1">
        <v>10.0</v>
      </c>
      <c r="F71" s="1">
        <v>1.0</v>
      </c>
      <c r="G71" s="1">
        <v>50.0</v>
      </c>
      <c r="H71" s="1">
        <v>4.0</v>
      </c>
      <c r="I71" s="1">
        <v>0.9231</v>
      </c>
      <c r="J71" s="1">
        <v>0.9091</v>
      </c>
      <c r="K71" s="1">
        <v>0.7143</v>
      </c>
      <c r="L71" s="1">
        <v>0.8</v>
      </c>
      <c r="M71" s="1">
        <v>0.7463</v>
      </c>
    </row>
    <row r="72">
      <c r="A72" s="1" t="s">
        <v>45</v>
      </c>
      <c r="B72" s="1">
        <v>3.0</v>
      </c>
      <c r="C72" s="1" t="s">
        <v>83</v>
      </c>
      <c r="D72" s="1">
        <v>49.0</v>
      </c>
      <c r="E72" s="1">
        <v>8.0</v>
      </c>
      <c r="F72" s="1">
        <v>2.0</v>
      </c>
      <c r="G72" s="1">
        <v>36.0</v>
      </c>
      <c r="H72" s="1">
        <v>3.0</v>
      </c>
      <c r="I72" s="1">
        <v>0.898</v>
      </c>
      <c r="J72" s="1">
        <v>0.8</v>
      </c>
      <c r="K72" s="1">
        <v>0.7273</v>
      </c>
      <c r="L72" s="1">
        <v>0.7619</v>
      </c>
      <c r="M72" s="1">
        <v>0.7407</v>
      </c>
    </row>
    <row r="73">
      <c r="A73" s="1" t="s">
        <v>47</v>
      </c>
      <c r="B73" s="1">
        <v>4.0</v>
      </c>
      <c r="C73" s="1" t="s">
        <v>83</v>
      </c>
      <c r="D73" s="1">
        <v>274.0</v>
      </c>
      <c r="E73" s="1">
        <v>41.0</v>
      </c>
      <c r="F73" s="1">
        <v>18.0</v>
      </c>
      <c r="G73" s="1">
        <v>206.0</v>
      </c>
      <c r="H73" s="1">
        <v>9.0</v>
      </c>
      <c r="I73" s="1">
        <v>0.9015</v>
      </c>
      <c r="J73" s="1">
        <v>0.6949</v>
      </c>
      <c r="K73" s="1">
        <v>0.82</v>
      </c>
      <c r="L73" s="1">
        <v>0.7523</v>
      </c>
      <c r="M73" s="1">
        <v>0.7915</v>
      </c>
    </row>
    <row r="74">
      <c r="A74" s="1" t="s">
        <v>50</v>
      </c>
      <c r="B74" s="1">
        <v>5.0</v>
      </c>
      <c r="C74" s="1" t="s">
        <v>83</v>
      </c>
      <c r="D74" s="1">
        <v>679.0</v>
      </c>
      <c r="E74" s="1">
        <v>66.0</v>
      </c>
      <c r="F74" s="1">
        <v>26.0</v>
      </c>
      <c r="G74" s="1">
        <v>560.0</v>
      </c>
      <c r="H74" s="1">
        <v>27.0</v>
      </c>
      <c r="I74" s="1">
        <v>0.9219</v>
      </c>
      <c r="J74" s="1">
        <v>0.7174</v>
      </c>
      <c r="K74" s="1">
        <v>0.7097</v>
      </c>
      <c r="L74" s="1">
        <v>0.7135</v>
      </c>
      <c r="M74" s="1">
        <v>0.7112</v>
      </c>
    </row>
    <row r="75">
      <c r="A75" s="1" t="s">
        <v>51</v>
      </c>
      <c r="B75" s="1">
        <v>6.0</v>
      </c>
      <c r="C75" s="1" t="s">
        <v>83</v>
      </c>
      <c r="D75" s="1">
        <v>662.0</v>
      </c>
      <c r="E75" s="1">
        <v>96.0</v>
      </c>
      <c r="F75" s="1">
        <v>43.0</v>
      </c>
      <c r="G75" s="1">
        <v>488.0</v>
      </c>
      <c r="H75" s="1">
        <v>35.0</v>
      </c>
      <c r="I75" s="1">
        <v>0.8822</v>
      </c>
      <c r="J75" s="1">
        <v>0.6906</v>
      </c>
      <c r="K75" s="1">
        <v>0.7328</v>
      </c>
      <c r="L75" s="1">
        <v>0.7111</v>
      </c>
      <c r="M75" s="1">
        <v>0.724</v>
      </c>
    </row>
    <row r="76">
      <c r="A76" s="1" t="s">
        <v>43</v>
      </c>
      <c r="B76" s="1">
        <v>7.0</v>
      </c>
      <c r="C76" s="1" t="s">
        <v>83</v>
      </c>
      <c r="D76" s="1">
        <v>194.0</v>
      </c>
      <c r="E76" s="1">
        <v>32.0</v>
      </c>
      <c r="F76" s="1">
        <v>13.0</v>
      </c>
      <c r="G76" s="1">
        <v>135.0</v>
      </c>
      <c r="H76" s="1">
        <v>14.0</v>
      </c>
      <c r="I76" s="1">
        <v>0.8608</v>
      </c>
      <c r="J76" s="1">
        <v>0.7111</v>
      </c>
      <c r="K76" s="1">
        <v>0.6957</v>
      </c>
      <c r="L76" s="1">
        <v>0.7033</v>
      </c>
      <c r="M76" s="1">
        <v>0.6987</v>
      </c>
    </row>
    <row r="77">
      <c r="A77" s="1" t="s">
        <v>53</v>
      </c>
      <c r="B77" s="1">
        <v>8.0</v>
      </c>
      <c r="C77" s="1" t="s">
        <v>83</v>
      </c>
      <c r="D77" s="1">
        <v>897.0</v>
      </c>
      <c r="E77" s="1">
        <v>123.0</v>
      </c>
      <c r="F77" s="1">
        <v>67.0</v>
      </c>
      <c r="G77" s="1">
        <v>662.0</v>
      </c>
      <c r="H77" s="1">
        <v>45.0</v>
      </c>
      <c r="I77" s="1">
        <v>0.8751</v>
      </c>
      <c r="J77" s="1">
        <v>0.6474</v>
      </c>
      <c r="K77" s="1">
        <v>0.7321</v>
      </c>
      <c r="L77" s="1">
        <v>0.6872</v>
      </c>
      <c r="M77" s="1">
        <v>0.7135</v>
      </c>
    </row>
    <row r="78">
      <c r="A78" s="1" t="s">
        <v>49</v>
      </c>
      <c r="B78" s="1">
        <v>9.0</v>
      </c>
      <c r="C78" s="1" t="s">
        <v>83</v>
      </c>
      <c r="D78" s="1">
        <v>95.0</v>
      </c>
      <c r="E78" s="1">
        <v>12.0</v>
      </c>
      <c r="F78" s="1">
        <v>3.0</v>
      </c>
      <c r="G78" s="1">
        <v>72.0</v>
      </c>
      <c r="H78" s="1">
        <v>8.0</v>
      </c>
      <c r="I78" s="1">
        <v>0.8842</v>
      </c>
      <c r="J78" s="1">
        <v>0.8</v>
      </c>
      <c r="K78" s="1">
        <v>0.6</v>
      </c>
      <c r="L78" s="1">
        <v>0.6857</v>
      </c>
      <c r="M78" s="1">
        <v>0.6316</v>
      </c>
    </row>
    <row r="79">
      <c r="A79" s="1" t="s">
        <v>52</v>
      </c>
      <c r="B79" s="1">
        <v>10.0</v>
      </c>
      <c r="C79" s="1" t="s">
        <v>83</v>
      </c>
      <c r="D79" s="1">
        <v>587.0</v>
      </c>
      <c r="E79" s="1">
        <v>69.0</v>
      </c>
      <c r="F79" s="1">
        <v>33.0</v>
      </c>
      <c r="G79" s="1">
        <v>454.0</v>
      </c>
      <c r="H79" s="1">
        <v>31.0</v>
      </c>
      <c r="I79" s="1">
        <v>0.891</v>
      </c>
      <c r="J79" s="1">
        <v>0.6765</v>
      </c>
      <c r="K79" s="1">
        <v>0.69</v>
      </c>
      <c r="L79" s="1">
        <v>0.6832</v>
      </c>
      <c r="M79" s="1">
        <v>0.6873</v>
      </c>
    </row>
    <row r="80">
      <c r="A80" s="1" t="s">
        <v>57</v>
      </c>
      <c r="B80" s="1">
        <v>11.0</v>
      </c>
      <c r="C80" s="1" t="s">
        <v>83</v>
      </c>
      <c r="D80" s="1">
        <v>153.0</v>
      </c>
      <c r="E80" s="1">
        <v>19.0</v>
      </c>
      <c r="F80" s="1">
        <v>12.0</v>
      </c>
      <c r="G80" s="1">
        <v>116.0</v>
      </c>
      <c r="H80" s="1">
        <v>6.0</v>
      </c>
      <c r="I80" s="1">
        <v>0.8824</v>
      </c>
      <c r="J80" s="1">
        <v>0.6129</v>
      </c>
      <c r="K80" s="1">
        <v>0.76</v>
      </c>
      <c r="L80" s="1">
        <v>0.6786</v>
      </c>
      <c r="M80" s="1">
        <v>0.7252</v>
      </c>
    </row>
    <row r="81">
      <c r="A81" s="1" t="s">
        <v>46</v>
      </c>
      <c r="B81" s="1">
        <v>12.0</v>
      </c>
      <c r="C81" s="1" t="s">
        <v>83</v>
      </c>
      <c r="D81" s="1">
        <v>89.0</v>
      </c>
      <c r="E81" s="1">
        <v>3.0</v>
      </c>
      <c r="F81" s="1">
        <v>1.0</v>
      </c>
      <c r="G81" s="1">
        <v>83.0</v>
      </c>
      <c r="H81" s="1">
        <v>2.0</v>
      </c>
      <c r="I81" s="1">
        <v>0.9663</v>
      </c>
      <c r="J81" s="1">
        <v>0.75</v>
      </c>
      <c r="K81" s="1">
        <v>0.6</v>
      </c>
      <c r="L81" s="1">
        <v>0.6667</v>
      </c>
      <c r="M81" s="1">
        <v>0.625</v>
      </c>
    </row>
    <row r="82">
      <c r="A82" s="1" t="s">
        <v>55</v>
      </c>
      <c r="B82" s="1">
        <v>13.0</v>
      </c>
      <c r="C82" s="1" t="s">
        <v>83</v>
      </c>
      <c r="D82" s="1">
        <v>469.0</v>
      </c>
      <c r="E82" s="1">
        <v>33.0</v>
      </c>
      <c r="F82" s="1">
        <v>23.0</v>
      </c>
      <c r="G82" s="1">
        <v>402.0</v>
      </c>
      <c r="H82" s="1">
        <v>11.0</v>
      </c>
      <c r="I82" s="1">
        <v>0.9275</v>
      </c>
      <c r="J82" s="1">
        <v>0.5893</v>
      </c>
      <c r="K82" s="1">
        <v>0.75</v>
      </c>
      <c r="L82" s="1">
        <v>0.66</v>
      </c>
      <c r="M82" s="1">
        <v>0.7112</v>
      </c>
    </row>
    <row r="83">
      <c r="A83" s="1" t="s">
        <v>56</v>
      </c>
      <c r="B83" s="1">
        <v>14.0</v>
      </c>
      <c r="C83" s="1" t="s">
        <v>83</v>
      </c>
      <c r="D83" s="1">
        <v>446.0</v>
      </c>
      <c r="E83" s="1">
        <v>31.0</v>
      </c>
      <c r="F83" s="1">
        <v>15.0</v>
      </c>
      <c r="G83" s="1">
        <v>383.0</v>
      </c>
      <c r="H83" s="1">
        <v>17.0</v>
      </c>
      <c r="I83" s="1">
        <v>0.9283</v>
      </c>
      <c r="J83" s="1">
        <v>0.6739</v>
      </c>
      <c r="K83" s="1">
        <v>0.6458</v>
      </c>
      <c r="L83" s="1">
        <v>0.6596</v>
      </c>
      <c r="M83" s="1">
        <v>0.6513</v>
      </c>
    </row>
    <row r="84">
      <c r="A84" s="1" t="s">
        <v>54</v>
      </c>
      <c r="B84" s="1">
        <v>15.0</v>
      </c>
      <c r="C84" s="1" t="s">
        <v>83</v>
      </c>
      <c r="D84" s="1">
        <v>49.0</v>
      </c>
      <c r="E84" s="1">
        <v>3.0</v>
      </c>
      <c r="F84" s="1">
        <v>3.0</v>
      </c>
      <c r="G84" s="1">
        <v>41.0</v>
      </c>
      <c r="H84" s="1">
        <v>2.0</v>
      </c>
      <c r="I84" s="1">
        <v>0.898</v>
      </c>
      <c r="J84" s="1">
        <v>0.5</v>
      </c>
      <c r="K84" s="1">
        <v>0.6</v>
      </c>
      <c r="L84" s="1">
        <v>0.5455</v>
      </c>
      <c r="M84" s="1">
        <v>0.5769</v>
      </c>
    </row>
    <row r="85">
      <c r="A85" s="1" t="s">
        <v>58</v>
      </c>
      <c r="B85" s="1">
        <v>16.0</v>
      </c>
      <c r="C85" s="1" t="s">
        <v>83</v>
      </c>
      <c r="D85" s="1">
        <v>117.0</v>
      </c>
      <c r="E85" s="1">
        <v>9.0</v>
      </c>
      <c r="F85" s="1">
        <v>10.0</v>
      </c>
      <c r="G85" s="1">
        <v>90.0</v>
      </c>
      <c r="H85" s="1">
        <v>8.0</v>
      </c>
      <c r="I85" s="1">
        <v>0.8462</v>
      </c>
      <c r="J85" s="1">
        <v>0.4737</v>
      </c>
      <c r="K85" s="1">
        <v>0.5294</v>
      </c>
      <c r="L85" s="1">
        <v>0.5</v>
      </c>
      <c r="M85" s="1">
        <v>0.5172</v>
      </c>
    </row>
    <row r="86">
      <c r="A86" s="1" t="s">
        <v>42</v>
      </c>
      <c r="B86" s="1">
        <v>17.0</v>
      </c>
      <c r="C86" s="1" t="s">
        <v>83</v>
      </c>
      <c r="D86" s="1">
        <v>16.0</v>
      </c>
      <c r="E86" s="1">
        <v>2.0</v>
      </c>
      <c r="F86" s="1">
        <v>1.0</v>
      </c>
      <c r="G86" s="1">
        <v>9.0</v>
      </c>
      <c r="H86" s="1">
        <v>4.0</v>
      </c>
      <c r="I86" s="1">
        <v>0.6875</v>
      </c>
      <c r="J86" s="1">
        <v>0.6667</v>
      </c>
      <c r="K86" s="1">
        <v>0.3333</v>
      </c>
      <c r="L86" s="1">
        <v>0.4444</v>
      </c>
      <c r="M86" s="1">
        <v>0.3704</v>
      </c>
    </row>
    <row r="87">
      <c r="A87" s="1" t="s">
        <v>48</v>
      </c>
      <c r="B87" s="1">
        <v>1.0</v>
      </c>
      <c r="C87" s="1" t="s">
        <v>84</v>
      </c>
      <c r="D87" s="1">
        <v>26.0</v>
      </c>
      <c r="E87" s="1">
        <v>4.0</v>
      </c>
      <c r="F87" s="1">
        <v>1.0</v>
      </c>
      <c r="G87" s="1">
        <v>20.0</v>
      </c>
      <c r="H87" s="1">
        <v>1.0</v>
      </c>
      <c r="I87" s="1">
        <v>0.9231</v>
      </c>
      <c r="J87" s="1">
        <v>0.8</v>
      </c>
      <c r="K87" s="1">
        <v>0.8</v>
      </c>
      <c r="L87" s="1">
        <v>0.8</v>
      </c>
      <c r="M87" s="1">
        <v>0.8</v>
      </c>
    </row>
    <row r="88">
      <c r="A88" s="1" t="s">
        <v>45</v>
      </c>
      <c r="B88" s="1">
        <v>2.0</v>
      </c>
      <c r="C88" s="1" t="s">
        <v>84</v>
      </c>
      <c r="D88" s="1">
        <v>49.0</v>
      </c>
      <c r="E88" s="1">
        <v>8.0</v>
      </c>
      <c r="F88" s="1">
        <v>2.0</v>
      </c>
      <c r="G88" s="1">
        <v>36.0</v>
      </c>
      <c r="H88" s="1">
        <v>3.0</v>
      </c>
      <c r="I88" s="1">
        <v>0.898</v>
      </c>
      <c r="J88" s="1">
        <v>0.8</v>
      </c>
      <c r="K88" s="1">
        <v>0.7273</v>
      </c>
      <c r="L88" s="1">
        <v>0.7619</v>
      </c>
      <c r="M88" s="1">
        <v>0.7407</v>
      </c>
    </row>
    <row r="89">
      <c r="A89" s="1" t="s">
        <v>47</v>
      </c>
      <c r="B89" s="1">
        <v>3.0</v>
      </c>
      <c r="C89" s="1" t="s">
        <v>84</v>
      </c>
      <c r="D89" s="1">
        <v>274.0</v>
      </c>
      <c r="E89" s="1">
        <v>42.0</v>
      </c>
      <c r="F89" s="1">
        <v>20.0</v>
      </c>
      <c r="G89" s="1">
        <v>204.0</v>
      </c>
      <c r="H89" s="1">
        <v>8.0</v>
      </c>
      <c r="I89" s="1">
        <v>0.8978</v>
      </c>
      <c r="J89" s="1">
        <v>0.6774</v>
      </c>
      <c r="K89" s="1">
        <v>0.84</v>
      </c>
      <c r="L89" s="1">
        <v>0.75</v>
      </c>
      <c r="M89" s="1">
        <v>0.8015</v>
      </c>
    </row>
    <row r="90">
      <c r="A90" s="1" t="s">
        <v>50</v>
      </c>
      <c r="B90" s="1">
        <v>4.0</v>
      </c>
      <c r="C90" s="1" t="s">
        <v>84</v>
      </c>
      <c r="D90" s="1">
        <v>679.0</v>
      </c>
      <c r="E90" s="1">
        <v>68.0</v>
      </c>
      <c r="F90" s="1">
        <v>21.0</v>
      </c>
      <c r="G90" s="1">
        <v>565.0</v>
      </c>
      <c r="H90" s="1">
        <v>25.0</v>
      </c>
      <c r="I90" s="1">
        <v>0.9323</v>
      </c>
      <c r="J90" s="1">
        <v>0.764</v>
      </c>
      <c r="K90" s="1">
        <v>0.7312</v>
      </c>
      <c r="L90" s="1">
        <v>0.7473</v>
      </c>
      <c r="M90" s="1">
        <v>0.7375</v>
      </c>
    </row>
    <row r="91">
      <c r="A91" s="1" t="s">
        <v>44</v>
      </c>
      <c r="B91" s="1">
        <v>5.0</v>
      </c>
      <c r="C91" s="1" t="s">
        <v>84</v>
      </c>
      <c r="D91" s="1">
        <v>65.0</v>
      </c>
      <c r="E91" s="1">
        <v>10.0</v>
      </c>
      <c r="F91" s="1">
        <v>3.0</v>
      </c>
      <c r="G91" s="1">
        <v>48.0</v>
      </c>
      <c r="H91" s="1">
        <v>4.0</v>
      </c>
      <c r="I91" s="1">
        <v>0.8923</v>
      </c>
      <c r="J91" s="1">
        <v>0.7692</v>
      </c>
      <c r="K91" s="1">
        <v>0.7143</v>
      </c>
      <c r="L91" s="1">
        <v>0.7407</v>
      </c>
      <c r="M91" s="1">
        <v>0.7246</v>
      </c>
    </row>
    <row r="92">
      <c r="A92" s="1" t="s">
        <v>51</v>
      </c>
      <c r="B92" s="1">
        <v>6.0</v>
      </c>
      <c r="C92" s="1" t="s">
        <v>84</v>
      </c>
      <c r="D92" s="1">
        <v>662.0</v>
      </c>
      <c r="E92" s="1">
        <v>97.0</v>
      </c>
      <c r="F92" s="1">
        <v>47.0</v>
      </c>
      <c r="G92" s="1">
        <v>484.0</v>
      </c>
      <c r="H92" s="1">
        <v>34.0</v>
      </c>
      <c r="I92" s="1">
        <v>0.8776</v>
      </c>
      <c r="J92" s="1">
        <v>0.6736</v>
      </c>
      <c r="K92" s="1">
        <v>0.7405</v>
      </c>
      <c r="L92" s="1">
        <v>0.7055</v>
      </c>
      <c r="M92" s="1">
        <v>0.726</v>
      </c>
    </row>
    <row r="93">
      <c r="A93" s="1" t="s">
        <v>53</v>
      </c>
      <c r="B93" s="1">
        <v>7.0</v>
      </c>
      <c r="C93" s="1" t="s">
        <v>84</v>
      </c>
      <c r="D93" s="1">
        <v>897.0</v>
      </c>
      <c r="E93" s="1">
        <v>119.0</v>
      </c>
      <c r="F93" s="1">
        <v>57.0</v>
      </c>
      <c r="G93" s="1">
        <v>672.0</v>
      </c>
      <c r="H93" s="1">
        <v>49.0</v>
      </c>
      <c r="I93" s="1">
        <v>0.8818</v>
      </c>
      <c r="J93" s="1">
        <v>0.6761</v>
      </c>
      <c r="K93" s="1">
        <v>0.7083</v>
      </c>
      <c r="L93" s="1">
        <v>0.6919</v>
      </c>
      <c r="M93" s="1">
        <v>0.7017</v>
      </c>
    </row>
    <row r="94">
      <c r="A94" s="1" t="s">
        <v>43</v>
      </c>
      <c r="B94" s="1">
        <v>8.0</v>
      </c>
      <c r="C94" s="1" t="s">
        <v>84</v>
      </c>
      <c r="D94" s="1">
        <v>194.0</v>
      </c>
      <c r="E94" s="1">
        <v>31.0</v>
      </c>
      <c r="F94" s="1">
        <v>13.0</v>
      </c>
      <c r="G94" s="1">
        <v>135.0</v>
      </c>
      <c r="H94" s="1">
        <v>15.0</v>
      </c>
      <c r="I94" s="1">
        <v>0.8557</v>
      </c>
      <c r="J94" s="1">
        <v>0.7045</v>
      </c>
      <c r="K94" s="1">
        <v>0.6739</v>
      </c>
      <c r="L94" s="1">
        <v>0.6889</v>
      </c>
      <c r="M94" s="1">
        <v>0.6798</v>
      </c>
    </row>
    <row r="95">
      <c r="A95" s="1" t="s">
        <v>46</v>
      </c>
      <c r="B95" s="1">
        <v>9.0</v>
      </c>
      <c r="C95" s="1" t="s">
        <v>84</v>
      </c>
      <c r="D95" s="1">
        <v>89.0</v>
      </c>
      <c r="E95" s="1">
        <v>3.0</v>
      </c>
      <c r="F95" s="1">
        <v>1.0</v>
      </c>
      <c r="G95" s="1">
        <v>83.0</v>
      </c>
      <c r="H95" s="1">
        <v>2.0</v>
      </c>
      <c r="I95" s="1">
        <v>0.9663</v>
      </c>
      <c r="J95" s="1">
        <v>0.75</v>
      </c>
      <c r="K95" s="1">
        <v>0.6</v>
      </c>
      <c r="L95" s="1">
        <v>0.6667</v>
      </c>
      <c r="M95" s="1">
        <v>0.625</v>
      </c>
    </row>
    <row r="96">
      <c r="A96" s="1" t="s">
        <v>52</v>
      </c>
      <c r="B96" s="1">
        <v>10.0</v>
      </c>
      <c r="C96" s="1" t="s">
        <v>84</v>
      </c>
      <c r="D96" s="1">
        <v>587.0</v>
      </c>
      <c r="E96" s="1">
        <v>65.0</v>
      </c>
      <c r="F96" s="1">
        <v>30.0</v>
      </c>
      <c r="G96" s="1">
        <v>457.0</v>
      </c>
      <c r="H96" s="1">
        <v>35.0</v>
      </c>
      <c r="I96" s="1">
        <v>0.8893</v>
      </c>
      <c r="J96" s="1">
        <v>0.6842</v>
      </c>
      <c r="K96" s="1">
        <v>0.65</v>
      </c>
      <c r="L96" s="1">
        <v>0.6667</v>
      </c>
      <c r="M96" s="1">
        <v>0.6566</v>
      </c>
    </row>
    <row r="97">
      <c r="A97" s="1" t="s">
        <v>57</v>
      </c>
      <c r="B97" s="1">
        <v>11.0</v>
      </c>
      <c r="C97" s="1" t="s">
        <v>84</v>
      </c>
      <c r="D97" s="1">
        <v>153.0</v>
      </c>
      <c r="E97" s="1">
        <v>18.0</v>
      </c>
      <c r="F97" s="1">
        <v>11.0</v>
      </c>
      <c r="G97" s="1">
        <v>117.0</v>
      </c>
      <c r="H97" s="1">
        <v>7.0</v>
      </c>
      <c r="I97" s="1">
        <v>0.8824</v>
      </c>
      <c r="J97" s="1">
        <v>0.6207</v>
      </c>
      <c r="K97" s="1">
        <v>0.72</v>
      </c>
      <c r="L97" s="1">
        <v>0.6667</v>
      </c>
      <c r="M97" s="1">
        <v>0.6977</v>
      </c>
    </row>
    <row r="98">
      <c r="A98" s="1" t="s">
        <v>55</v>
      </c>
      <c r="B98" s="1">
        <v>12.0</v>
      </c>
      <c r="C98" s="1" t="s">
        <v>84</v>
      </c>
      <c r="D98" s="1">
        <v>469.0</v>
      </c>
      <c r="E98" s="1">
        <v>34.0</v>
      </c>
      <c r="F98" s="1">
        <v>26.0</v>
      </c>
      <c r="G98" s="1">
        <v>399.0</v>
      </c>
      <c r="H98" s="1">
        <v>10.0</v>
      </c>
      <c r="I98" s="1">
        <v>0.9232</v>
      </c>
      <c r="J98" s="1">
        <v>0.5667</v>
      </c>
      <c r="K98" s="1">
        <v>0.7727</v>
      </c>
      <c r="L98" s="1">
        <v>0.6538</v>
      </c>
      <c r="M98" s="1">
        <v>0.7203</v>
      </c>
    </row>
    <row r="99">
      <c r="A99" s="1" t="s">
        <v>56</v>
      </c>
      <c r="B99" s="1">
        <v>13.0</v>
      </c>
      <c r="C99" s="1" t="s">
        <v>84</v>
      </c>
      <c r="D99" s="1">
        <v>446.0</v>
      </c>
      <c r="E99" s="1">
        <v>32.0</v>
      </c>
      <c r="F99" s="1">
        <v>18.0</v>
      </c>
      <c r="G99" s="1">
        <v>380.0</v>
      </c>
      <c r="H99" s="1">
        <v>16.0</v>
      </c>
      <c r="I99" s="1">
        <v>0.9238</v>
      </c>
      <c r="J99" s="1">
        <v>0.64</v>
      </c>
      <c r="K99" s="1">
        <v>0.6667</v>
      </c>
      <c r="L99" s="1">
        <v>0.6531</v>
      </c>
      <c r="M99" s="1">
        <v>0.6612</v>
      </c>
    </row>
    <row r="100">
      <c r="A100" s="1" t="s">
        <v>49</v>
      </c>
      <c r="B100" s="1">
        <v>14.0</v>
      </c>
      <c r="C100" s="1" t="s">
        <v>84</v>
      </c>
      <c r="D100" s="1">
        <v>95.0</v>
      </c>
      <c r="E100" s="1">
        <v>11.0</v>
      </c>
      <c r="F100" s="1">
        <v>4.0</v>
      </c>
      <c r="G100" s="1">
        <v>71.0</v>
      </c>
      <c r="H100" s="1">
        <v>9.0</v>
      </c>
      <c r="I100" s="1">
        <v>0.8632</v>
      </c>
      <c r="J100" s="1">
        <v>0.7333</v>
      </c>
      <c r="K100" s="1">
        <v>0.55</v>
      </c>
      <c r="L100" s="1">
        <v>0.6286</v>
      </c>
      <c r="M100" s="1">
        <v>0.5789</v>
      </c>
    </row>
    <row r="101">
      <c r="A101" s="1" t="s">
        <v>58</v>
      </c>
      <c r="B101" s="1">
        <v>15.0</v>
      </c>
      <c r="C101" s="1" t="s">
        <v>84</v>
      </c>
      <c r="D101" s="1">
        <v>117.0</v>
      </c>
      <c r="E101" s="1">
        <v>9.0</v>
      </c>
      <c r="F101" s="1">
        <v>10.0</v>
      </c>
      <c r="G101" s="1">
        <v>90.0</v>
      </c>
      <c r="H101" s="1">
        <v>8.0</v>
      </c>
      <c r="I101" s="1">
        <v>0.8462</v>
      </c>
      <c r="J101" s="1">
        <v>0.4737</v>
      </c>
      <c r="K101" s="1">
        <v>0.5294</v>
      </c>
      <c r="L101" s="1">
        <v>0.5</v>
      </c>
      <c r="M101" s="1">
        <v>0.5172</v>
      </c>
    </row>
    <row r="102">
      <c r="A102" s="1" t="s">
        <v>42</v>
      </c>
      <c r="B102" s="1">
        <v>16.0</v>
      </c>
      <c r="C102" s="1" t="s">
        <v>84</v>
      </c>
      <c r="D102" s="1">
        <v>16.0</v>
      </c>
      <c r="E102" s="1">
        <v>2.0</v>
      </c>
      <c r="F102" s="1">
        <v>1.0</v>
      </c>
      <c r="G102" s="1">
        <v>9.0</v>
      </c>
      <c r="H102" s="1">
        <v>4.0</v>
      </c>
      <c r="I102" s="1">
        <v>0.6875</v>
      </c>
      <c r="J102" s="1">
        <v>0.6667</v>
      </c>
      <c r="K102" s="1">
        <v>0.3333</v>
      </c>
      <c r="L102" s="1">
        <v>0.4444</v>
      </c>
      <c r="M102" s="1">
        <v>0.3704</v>
      </c>
    </row>
    <row r="103">
      <c r="A103" s="1" t="s">
        <v>54</v>
      </c>
      <c r="B103" s="1">
        <v>17.0</v>
      </c>
      <c r="C103" s="1" t="s">
        <v>84</v>
      </c>
      <c r="D103" s="1">
        <v>49.0</v>
      </c>
      <c r="E103" s="1">
        <v>2.0</v>
      </c>
      <c r="F103" s="1">
        <v>2.0</v>
      </c>
      <c r="G103" s="1">
        <v>42.0</v>
      </c>
      <c r="H103" s="1">
        <v>3.0</v>
      </c>
      <c r="I103" s="1">
        <v>0.898</v>
      </c>
      <c r="J103" s="1">
        <v>0.5</v>
      </c>
      <c r="K103" s="1">
        <v>0.4</v>
      </c>
      <c r="L103" s="1">
        <v>0.4444</v>
      </c>
      <c r="M103" s="1">
        <v>0.4167</v>
      </c>
    </row>
    <row r="104">
      <c r="A104" s="1" t="s">
        <v>45</v>
      </c>
      <c r="B104" s="1">
        <v>1.0</v>
      </c>
      <c r="C104" s="1" t="s">
        <v>85</v>
      </c>
      <c r="D104" s="1">
        <v>49.0</v>
      </c>
      <c r="E104" s="1">
        <v>8.0</v>
      </c>
      <c r="F104" s="1">
        <v>1.0</v>
      </c>
      <c r="G104" s="1">
        <v>37.0</v>
      </c>
      <c r="H104" s="1">
        <v>3.0</v>
      </c>
      <c r="I104" s="1">
        <v>0.9184</v>
      </c>
      <c r="J104" s="1">
        <v>0.8889</v>
      </c>
      <c r="K104" s="1">
        <v>0.7273</v>
      </c>
      <c r="L104" s="1">
        <v>0.8</v>
      </c>
      <c r="M104" s="1">
        <v>0.7547</v>
      </c>
    </row>
    <row r="105">
      <c r="A105" s="1" t="s">
        <v>46</v>
      </c>
      <c r="B105" s="1">
        <v>2.0</v>
      </c>
      <c r="C105" s="1" t="s">
        <v>85</v>
      </c>
      <c r="D105" s="1">
        <v>89.0</v>
      </c>
      <c r="E105" s="1">
        <v>3.0</v>
      </c>
      <c r="F105" s="1">
        <v>0.0</v>
      </c>
      <c r="G105" s="1">
        <v>84.0</v>
      </c>
      <c r="H105" s="1">
        <v>2.0</v>
      </c>
      <c r="I105" s="1">
        <v>0.9775</v>
      </c>
      <c r="J105" s="1">
        <v>1.0</v>
      </c>
      <c r="K105" s="1">
        <v>0.6</v>
      </c>
      <c r="L105" s="1">
        <v>0.75</v>
      </c>
      <c r="M105" s="1">
        <v>0.6522</v>
      </c>
    </row>
    <row r="106">
      <c r="A106" s="1" t="s">
        <v>47</v>
      </c>
      <c r="B106" s="1">
        <v>3.0</v>
      </c>
      <c r="C106" s="1" t="s">
        <v>85</v>
      </c>
      <c r="D106" s="1">
        <v>274.0</v>
      </c>
      <c r="E106" s="1">
        <v>43.0</v>
      </c>
      <c r="F106" s="1">
        <v>23.0</v>
      </c>
      <c r="G106" s="1">
        <v>201.0</v>
      </c>
      <c r="H106" s="1">
        <v>7.0</v>
      </c>
      <c r="I106" s="1">
        <v>0.8905</v>
      </c>
      <c r="J106" s="1">
        <v>0.6515</v>
      </c>
      <c r="K106" s="1">
        <v>0.86</v>
      </c>
      <c r="L106" s="1">
        <v>0.7414</v>
      </c>
      <c r="M106" s="1">
        <v>0.8083</v>
      </c>
    </row>
    <row r="107">
      <c r="A107" s="1" t="s">
        <v>42</v>
      </c>
      <c r="B107" s="1">
        <v>4.0</v>
      </c>
      <c r="C107" s="1" t="s">
        <v>85</v>
      </c>
      <c r="D107" s="1">
        <v>16.0</v>
      </c>
      <c r="E107" s="1">
        <v>4.0</v>
      </c>
      <c r="F107" s="1">
        <v>1.0</v>
      </c>
      <c r="G107" s="1">
        <v>9.0</v>
      </c>
      <c r="H107" s="1">
        <v>2.0</v>
      </c>
      <c r="I107" s="1">
        <v>0.8125</v>
      </c>
      <c r="J107" s="1">
        <v>0.8</v>
      </c>
      <c r="K107" s="1">
        <v>0.6667</v>
      </c>
      <c r="L107" s="1">
        <v>0.7273</v>
      </c>
      <c r="M107" s="1">
        <v>0.6897</v>
      </c>
    </row>
    <row r="108">
      <c r="A108" s="1" t="s">
        <v>48</v>
      </c>
      <c r="B108" s="1">
        <v>5.0</v>
      </c>
      <c r="C108" s="1" t="s">
        <v>85</v>
      </c>
      <c r="D108" s="1">
        <v>26.0</v>
      </c>
      <c r="E108" s="1">
        <v>4.0</v>
      </c>
      <c r="F108" s="1">
        <v>2.0</v>
      </c>
      <c r="G108" s="1">
        <v>19.0</v>
      </c>
      <c r="H108" s="1">
        <v>1.0</v>
      </c>
      <c r="I108" s="1">
        <v>0.8846</v>
      </c>
      <c r="J108" s="1">
        <v>0.6667</v>
      </c>
      <c r="K108" s="1">
        <v>0.8</v>
      </c>
      <c r="L108" s="1">
        <v>0.7273</v>
      </c>
      <c r="M108" s="1">
        <v>0.7692</v>
      </c>
    </row>
    <row r="109">
      <c r="A109" s="1" t="s">
        <v>49</v>
      </c>
      <c r="B109" s="1">
        <v>6.0</v>
      </c>
      <c r="C109" s="1" t="s">
        <v>85</v>
      </c>
      <c r="D109" s="1">
        <v>95.0</v>
      </c>
      <c r="E109" s="1">
        <v>14.0</v>
      </c>
      <c r="F109" s="1">
        <v>5.0</v>
      </c>
      <c r="G109" s="1">
        <v>70.0</v>
      </c>
      <c r="H109" s="1">
        <v>6.0</v>
      </c>
      <c r="I109" s="1">
        <v>0.8842</v>
      </c>
      <c r="J109" s="1">
        <v>0.7368</v>
      </c>
      <c r="K109" s="1">
        <v>0.7</v>
      </c>
      <c r="L109" s="1">
        <v>0.7179</v>
      </c>
      <c r="M109" s="1">
        <v>0.7071</v>
      </c>
    </row>
    <row r="110">
      <c r="A110" s="1" t="s">
        <v>50</v>
      </c>
      <c r="B110" s="1">
        <v>7.0</v>
      </c>
      <c r="C110" s="1" t="s">
        <v>85</v>
      </c>
      <c r="D110" s="1">
        <v>679.0</v>
      </c>
      <c r="E110" s="1">
        <v>65.0</v>
      </c>
      <c r="F110" s="1">
        <v>25.0</v>
      </c>
      <c r="G110" s="1">
        <v>561.0</v>
      </c>
      <c r="H110" s="1">
        <v>28.0</v>
      </c>
      <c r="I110" s="1">
        <v>0.9219</v>
      </c>
      <c r="J110" s="1">
        <v>0.7222</v>
      </c>
      <c r="K110" s="1">
        <v>0.6989</v>
      </c>
      <c r="L110" s="1">
        <v>0.7104</v>
      </c>
      <c r="M110" s="1">
        <v>0.7035</v>
      </c>
    </row>
    <row r="111">
      <c r="A111" s="1" t="s">
        <v>43</v>
      </c>
      <c r="B111" s="1">
        <v>8.0</v>
      </c>
      <c r="C111" s="1" t="s">
        <v>85</v>
      </c>
      <c r="D111" s="1">
        <v>194.0</v>
      </c>
      <c r="E111" s="1">
        <v>34.0</v>
      </c>
      <c r="F111" s="1">
        <v>17.0</v>
      </c>
      <c r="G111" s="1">
        <v>131.0</v>
      </c>
      <c r="H111" s="1">
        <v>12.0</v>
      </c>
      <c r="I111" s="1">
        <v>0.8505</v>
      </c>
      <c r="J111" s="1">
        <v>0.6667</v>
      </c>
      <c r="K111" s="1">
        <v>0.7391</v>
      </c>
      <c r="L111" s="1">
        <v>0.701</v>
      </c>
      <c r="M111" s="1">
        <v>0.7234</v>
      </c>
    </row>
    <row r="112">
      <c r="A112" s="1" t="s">
        <v>44</v>
      </c>
      <c r="B112" s="1">
        <v>9.0</v>
      </c>
      <c r="C112" s="1" t="s">
        <v>85</v>
      </c>
      <c r="D112" s="1">
        <v>65.0</v>
      </c>
      <c r="E112" s="1">
        <v>9.0</v>
      </c>
      <c r="F112" s="1">
        <v>3.0</v>
      </c>
      <c r="G112" s="1">
        <v>48.0</v>
      </c>
      <c r="H112" s="1">
        <v>5.0</v>
      </c>
      <c r="I112" s="1">
        <v>0.8769</v>
      </c>
      <c r="J112" s="1">
        <v>0.75</v>
      </c>
      <c r="K112" s="1">
        <v>0.6429</v>
      </c>
      <c r="L112" s="1">
        <v>0.6923</v>
      </c>
      <c r="M112" s="1">
        <v>0.6618</v>
      </c>
    </row>
    <row r="113">
      <c r="A113" s="1" t="s">
        <v>51</v>
      </c>
      <c r="B113" s="1">
        <v>10.0</v>
      </c>
      <c r="C113" s="1" t="s">
        <v>85</v>
      </c>
      <c r="D113" s="1">
        <v>662.0</v>
      </c>
      <c r="E113" s="1">
        <v>93.0</v>
      </c>
      <c r="F113" s="1">
        <v>57.0</v>
      </c>
      <c r="G113" s="1">
        <v>474.0</v>
      </c>
      <c r="H113" s="1">
        <v>38.0</v>
      </c>
      <c r="I113" s="1">
        <v>0.8565</v>
      </c>
      <c r="J113" s="1">
        <v>0.62</v>
      </c>
      <c r="K113" s="1">
        <v>0.7099</v>
      </c>
      <c r="L113" s="1">
        <v>0.6619</v>
      </c>
      <c r="M113" s="1">
        <v>0.6899</v>
      </c>
    </row>
    <row r="114">
      <c r="A114" s="1" t="s">
        <v>56</v>
      </c>
      <c r="B114" s="1">
        <v>11.0</v>
      </c>
      <c r="C114" s="1" t="s">
        <v>85</v>
      </c>
      <c r="D114" s="1">
        <v>446.0</v>
      </c>
      <c r="E114" s="1">
        <v>32.0</v>
      </c>
      <c r="F114" s="1">
        <v>18.0</v>
      </c>
      <c r="G114" s="1">
        <v>380.0</v>
      </c>
      <c r="H114" s="1">
        <v>16.0</v>
      </c>
      <c r="I114" s="1">
        <v>0.9238</v>
      </c>
      <c r="J114" s="1">
        <v>0.64</v>
      </c>
      <c r="K114" s="1">
        <v>0.6667</v>
      </c>
      <c r="L114" s="1">
        <v>0.6531</v>
      </c>
      <c r="M114" s="1">
        <v>0.6612</v>
      </c>
    </row>
    <row r="115">
      <c r="A115" s="1" t="s">
        <v>53</v>
      </c>
      <c r="B115" s="1">
        <v>12.0</v>
      </c>
      <c r="C115" s="1" t="s">
        <v>85</v>
      </c>
      <c r="D115" s="1">
        <v>897.0</v>
      </c>
      <c r="E115" s="1">
        <v>120.0</v>
      </c>
      <c r="F115" s="1">
        <v>80.0</v>
      </c>
      <c r="G115" s="1">
        <v>649.0</v>
      </c>
      <c r="H115" s="1">
        <v>48.0</v>
      </c>
      <c r="I115" s="1">
        <v>0.8573</v>
      </c>
      <c r="J115" s="1">
        <v>0.6</v>
      </c>
      <c r="K115" s="1">
        <v>0.7143</v>
      </c>
      <c r="L115" s="1">
        <v>0.6522</v>
      </c>
      <c r="M115" s="1">
        <v>0.6881</v>
      </c>
    </row>
    <row r="116">
      <c r="A116" s="1" t="s">
        <v>52</v>
      </c>
      <c r="B116" s="1">
        <v>13.0</v>
      </c>
      <c r="C116" s="1" t="s">
        <v>85</v>
      </c>
      <c r="D116" s="1">
        <v>587.0</v>
      </c>
      <c r="E116" s="1">
        <v>71.0</v>
      </c>
      <c r="F116" s="1">
        <v>47.0</v>
      </c>
      <c r="G116" s="1">
        <v>440.0</v>
      </c>
      <c r="H116" s="1">
        <v>29.0</v>
      </c>
      <c r="I116" s="1">
        <v>0.8705</v>
      </c>
      <c r="J116" s="1">
        <v>0.6017</v>
      </c>
      <c r="K116" s="1">
        <v>0.71</v>
      </c>
      <c r="L116" s="1">
        <v>0.6514</v>
      </c>
      <c r="M116" s="1">
        <v>0.6853</v>
      </c>
    </row>
    <row r="117">
      <c r="A117" s="1" t="s">
        <v>57</v>
      </c>
      <c r="B117" s="1">
        <v>14.0</v>
      </c>
      <c r="C117" s="1" t="s">
        <v>85</v>
      </c>
      <c r="D117" s="1">
        <v>153.0</v>
      </c>
      <c r="E117" s="1">
        <v>18.0</v>
      </c>
      <c r="F117" s="1">
        <v>16.0</v>
      </c>
      <c r="G117" s="1">
        <v>112.0</v>
      </c>
      <c r="H117" s="1">
        <v>7.0</v>
      </c>
      <c r="I117" s="1">
        <v>0.8497</v>
      </c>
      <c r="J117" s="1">
        <v>0.5294</v>
      </c>
      <c r="K117" s="1">
        <v>0.72</v>
      </c>
      <c r="L117" s="1">
        <v>0.6102</v>
      </c>
      <c r="M117" s="1">
        <v>0.6716</v>
      </c>
    </row>
    <row r="118">
      <c r="A118" s="1" t="s">
        <v>55</v>
      </c>
      <c r="B118" s="1">
        <v>15.0</v>
      </c>
      <c r="C118" s="1" t="s">
        <v>85</v>
      </c>
      <c r="D118" s="1">
        <v>469.0</v>
      </c>
      <c r="E118" s="1">
        <v>33.0</v>
      </c>
      <c r="F118" s="1">
        <v>36.0</v>
      </c>
      <c r="G118" s="1">
        <v>389.0</v>
      </c>
      <c r="H118" s="1">
        <v>11.0</v>
      </c>
      <c r="I118" s="1">
        <v>0.8998</v>
      </c>
      <c r="J118" s="1">
        <v>0.4783</v>
      </c>
      <c r="K118" s="1">
        <v>0.75</v>
      </c>
      <c r="L118" s="1">
        <v>0.5841</v>
      </c>
      <c r="M118" s="1">
        <v>0.6735</v>
      </c>
    </row>
    <row r="119">
      <c r="A119" s="1" t="s">
        <v>58</v>
      </c>
      <c r="B119" s="1">
        <v>16.0</v>
      </c>
      <c r="C119" s="1" t="s">
        <v>85</v>
      </c>
      <c r="D119" s="1">
        <v>117.0</v>
      </c>
      <c r="E119" s="1">
        <v>11.0</v>
      </c>
      <c r="F119" s="1">
        <v>17.0</v>
      </c>
      <c r="G119" s="1">
        <v>83.0</v>
      </c>
      <c r="H119" s="1">
        <v>6.0</v>
      </c>
      <c r="I119" s="1">
        <v>0.8034</v>
      </c>
      <c r="J119" s="1">
        <v>0.3929</v>
      </c>
      <c r="K119" s="1">
        <v>0.6471</v>
      </c>
      <c r="L119" s="1">
        <v>0.4889</v>
      </c>
      <c r="M119" s="1">
        <v>0.5729</v>
      </c>
    </row>
    <row r="120">
      <c r="A120" s="1" t="s">
        <v>54</v>
      </c>
      <c r="B120" s="1">
        <v>17.0</v>
      </c>
      <c r="C120" s="1" t="s">
        <v>85</v>
      </c>
      <c r="D120" s="1">
        <v>49.0</v>
      </c>
      <c r="E120" s="1">
        <v>0.0</v>
      </c>
      <c r="F120" s="1">
        <v>3.0</v>
      </c>
      <c r="G120" s="1">
        <v>41.0</v>
      </c>
      <c r="H120" s="1">
        <v>5.0</v>
      </c>
      <c r="I120" s="1">
        <v>0.8367</v>
      </c>
      <c r="J120" s="1">
        <v>0.0</v>
      </c>
      <c r="K120" s="1">
        <v>0.0</v>
      </c>
      <c r="L120" s="1">
        <v>0.0</v>
      </c>
      <c r="M120" s="1">
        <v>0.0</v>
      </c>
    </row>
    <row r="121">
      <c r="A121" s="1" t="s">
        <v>45</v>
      </c>
      <c r="B121" s="1">
        <v>1.0</v>
      </c>
      <c r="C121" s="1" t="s">
        <v>86</v>
      </c>
      <c r="D121" s="1">
        <v>49.0</v>
      </c>
      <c r="E121" s="1">
        <v>9.0</v>
      </c>
      <c r="F121" s="1">
        <v>1.0</v>
      </c>
      <c r="G121" s="1">
        <v>37.0</v>
      </c>
      <c r="H121" s="1">
        <v>2.0</v>
      </c>
      <c r="I121" s="1">
        <v>0.9388</v>
      </c>
      <c r="J121" s="1">
        <v>0.9</v>
      </c>
      <c r="K121" s="1">
        <v>0.8182</v>
      </c>
      <c r="L121" s="1">
        <v>0.8571</v>
      </c>
      <c r="M121" s="1">
        <v>0.8333</v>
      </c>
    </row>
    <row r="122">
      <c r="A122" s="1" t="s">
        <v>47</v>
      </c>
      <c r="B122" s="1">
        <v>2.0</v>
      </c>
      <c r="C122" s="1" t="s">
        <v>86</v>
      </c>
      <c r="D122" s="1">
        <v>274.0</v>
      </c>
      <c r="E122" s="1">
        <v>43.0</v>
      </c>
      <c r="F122" s="1">
        <v>23.0</v>
      </c>
      <c r="G122" s="1">
        <v>201.0</v>
      </c>
      <c r="H122" s="1">
        <v>7.0</v>
      </c>
      <c r="I122" s="1">
        <v>0.8905</v>
      </c>
      <c r="J122" s="1">
        <v>0.6515</v>
      </c>
      <c r="K122" s="1">
        <v>0.86</v>
      </c>
      <c r="L122" s="1">
        <v>0.7414</v>
      </c>
      <c r="M122" s="1">
        <v>0.8083</v>
      </c>
    </row>
    <row r="123">
      <c r="A123" s="1" t="s">
        <v>48</v>
      </c>
      <c r="B123" s="1">
        <v>3.0</v>
      </c>
      <c r="C123" s="1" t="s">
        <v>86</v>
      </c>
      <c r="D123" s="1">
        <v>26.0</v>
      </c>
      <c r="E123" s="1">
        <v>4.0</v>
      </c>
      <c r="F123" s="1">
        <v>2.0</v>
      </c>
      <c r="G123" s="1">
        <v>19.0</v>
      </c>
      <c r="H123" s="1">
        <v>1.0</v>
      </c>
      <c r="I123" s="1">
        <v>0.8846</v>
      </c>
      <c r="J123" s="1">
        <v>0.6667</v>
      </c>
      <c r="K123" s="1">
        <v>0.8</v>
      </c>
      <c r="L123" s="1">
        <v>0.7273</v>
      </c>
      <c r="M123" s="1">
        <v>0.7692</v>
      </c>
    </row>
    <row r="124">
      <c r="A124" s="1" t="s">
        <v>51</v>
      </c>
      <c r="B124" s="1">
        <v>4.0</v>
      </c>
      <c r="C124" s="1" t="s">
        <v>86</v>
      </c>
      <c r="D124" s="1">
        <v>662.0</v>
      </c>
      <c r="E124" s="1">
        <v>92.0</v>
      </c>
      <c r="F124" s="1">
        <v>42.0</v>
      </c>
      <c r="G124" s="1">
        <v>489.0</v>
      </c>
      <c r="H124" s="1">
        <v>39.0</v>
      </c>
      <c r="I124" s="1">
        <v>0.8776</v>
      </c>
      <c r="J124" s="1">
        <v>0.6866</v>
      </c>
      <c r="K124" s="1">
        <v>0.7023</v>
      </c>
      <c r="L124" s="1">
        <v>0.6943</v>
      </c>
      <c r="M124" s="1">
        <v>0.6991</v>
      </c>
    </row>
    <row r="125">
      <c r="A125" s="1" t="s">
        <v>57</v>
      </c>
      <c r="B125" s="1">
        <v>5.0</v>
      </c>
      <c r="C125" s="1" t="s">
        <v>86</v>
      </c>
      <c r="D125" s="1">
        <v>153.0</v>
      </c>
      <c r="E125" s="1">
        <v>18.0</v>
      </c>
      <c r="F125" s="1">
        <v>10.0</v>
      </c>
      <c r="G125" s="1">
        <v>118.0</v>
      </c>
      <c r="H125" s="1">
        <v>7.0</v>
      </c>
      <c r="I125" s="1">
        <v>0.8889</v>
      </c>
      <c r="J125" s="1">
        <v>0.6429</v>
      </c>
      <c r="K125" s="1">
        <v>0.72</v>
      </c>
      <c r="L125" s="1">
        <v>0.6792</v>
      </c>
      <c r="M125" s="1">
        <v>0.7031</v>
      </c>
    </row>
    <row r="126">
      <c r="A126" s="1" t="s">
        <v>53</v>
      </c>
      <c r="B126" s="1">
        <v>6.0</v>
      </c>
      <c r="C126" s="1" t="s">
        <v>86</v>
      </c>
      <c r="D126" s="1">
        <v>897.0</v>
      </c>
      <c r="E126" s="1">
        <v>119.0</v>
      </c>
      <c r="F126" s="1">
        <v>65.0</v>
      </c>
      <c r="G126" s="1">
        <v>664.0</v>
      </c>
      <c r="H126" s="1">
        <v>49.0</v>
      </c>
      <c r="I126" s="1">
        <v>0.8729</v>
      </c>
      <c r="J126" s="1">
        <v>0.6467</v>
      </c>
      <c r="K126" s="1">
        <v>0.7083</v>
      </c>
      <c r="L126" s="1">
        <v>0.6761</v>
      </c>
      <c r="M126" s="1">
        <v>0.6951</v>
      </c>
    </row>
    <row r="127">
      <c r="A127" s="1" t="s">
        <v>55</v>
      </c>
      <c r="B127" s="1">
        <v>7.0</v>
      </c>
      <c r="C127" s="1" t="s">
        <v>86</v>
      </c>
      <c r="D127" s="1">
        <v>469.0</v>
      </c>
      <c r="E127" s="1">
        <v>34.0</v>
      </c>
      <c r="F127" s="1">
        <v>23.0</v>
      </c>
      <c r="G127" s="1">
        <v>402.0</v>
      </c>
      <c r="H127" s="1">
        <v>10.0</v>
      </c>
      <c r="I127" s="1">
        <v>0.9296</v>
      </c>
      <c r="J127" s="1">
        <v>0.5965</v>
      </c>
      <c r="K127" s="1">
        <v>0.7727</v>
      </c>
      <c r="L127" s="1">
        <v>0.6733</v>
      </c>
      <c r="M127" s="1">
        <v>0.7296</v>
      </c>
    </row>
    <row r="128">
      <c r="A128" s="1" t="s">
        <v>49</v>
      </c>
      <c r="B128" s="1">
        <v>8.0</v>
      </c>
      <c r="C128" s="1" t="s">
        <v>86</v>
      </c>
      <c r="D128" s="1">
        <v>95.0</v>
      </c>
      <c r="E128" s="1">
        <v>12.0</v>
      </c>
      <c r="F128" s="1">
        <v>4.0</v>
      </c>
      <c r="G128" s="1">
        <v>71.0</v>
      </c>
      <c r="H128" s="1">
        <v>8.0</v>
      </c>
      <c r="I128" s="1">
        <v>0.8737</v>
      </c>
      <c r="J128" s="1">
        <v>0.75</v>
      </c>
      <c r="K128" s="1">
        <v>0.6</v>
      </c>
      <c r="L128" s="1">
        <v>0.6667</v>
      </c>
      <c r="M128" s="1">
        <v>0.625</v>
      </c>
    </row>
    <row r="129">
      <c r="A129" s="1" t="s">
        <v>50</v>
      </c>
      <c r="B129" s="1">
        <v>9.0</v>
      </c>
      <c r="C129" s="1" t="s">
        <v>86</v>
      </c>
      <c r="D129" s="1">
        <v>679.0</v>
      </c>
      <c r="E129" s="1">
        <v>56.0</v>
      </c>
      <c r="F129" s="1">
        <v>23.0</v>
      </c>
      <c r="G129" s="1">
        <v>563.0</v>
      </c>
      <c r="H129" s="1">
        <v>37.0</v>
      </c>
      <c r="I129" s="1">
        <v>0.9116</v>
      </c>
      <c r="J129" s="1">
        <v>0.7089</v>
      </c>
      <c r="K129" s="1">
        <v>0.6022</v>
      </c>
      <c r="L129" s="1">
        <v>0.6512</v>
      </c>
      <c r="M129" s="1">
        <v>0.6208</v>
      </c>
    </row>
    <row r="130">
      <c r="A130" s="1" t="s">
        <v>44</v>
      </c>
      <c r="B130" s="1">
        <v>10.0</v>
      </c>
      <c r="C130" s="1" t="s">
        <v>86</v>
      </c>
      <c r="D130" s="1">
        <v>65.0</v>
      </c>
      <c r="E130" s="1">
        <v>8.0</v>
      </c>
      <c r="F130" s="1">
        <v>3.0</v>
      </c>
      <c r="G130" s="1">
        <v>48.0</v>
      </c>
      <c r="H130" s="1">
        <v>6.0</v>
      </c>
      <c r="I130" s="1">
        <v>0.8615</v>
      </c>
      <c r="J130" s="1">
        <v>0.7273</v>
      </c>
      <c r="K130" s="1">
        <v>0.5714</v>
      </c>
      <c r="L130" s="1">
        <v>0.64</v>
      </c>
      <c r="M130" s="1">
        <v>0.597</v>
      </c>
    </row>
    <row r="131">
      <c r="A131" s="1" t="s">
        <v>56</v>
      </c>
      <c r="B131" s="1">
        <v>11.0</v>
      </c>
      <c r="C131" s="1" t="s">
        <v>86</v>
      </c>
      <c r="D131" s="1">
        <v>446.0</v>
      </c>
      <c r="E131" s="1">
        <v>30.0</v>
      </c>
      <c r="F131" s="1">
        <v>16.0</v>
      </c>
      <c r="G131" s="1">
        <v>382.0</v>
      </c>
      <c r="H131" s="1">
        <v>18.0</v>
      </c>
      <c r="I131" s="1">
        <v>0.9238</v>
      </c>
      <c r="J131" s="1">
        <v>0.6522</v>
      </c>
      <c r="K131" s="1">
        <v>0.625</v>
      </c>
      <c r="L131" s="1">
        <v>0.6383</v>
      </c>
      <c r="M131" s="1">
        <v>0.6303</v>
      </c>
    </row>
    <row r="132">
      <c r="A132" s="1" t="s">
        <v>43</v>
      </c>
      <c r="B132" s="1">
        <v>12.0</v>
      </c>
      <c r="C132" s="1" t="s">
        <v>86</v>
      </c>
      <c r="D132" s="1">
        <v>194.0</v>
      </c>
      <c r="E132" s="1">
        <v>27.0</v>
      </c>
      <c r="F132" s="1">
        <v>13.0</v>
      </c>
      <c r="G132" s="1">
        <v>135.0</v>
      </c>
      <c r="H132" s="1">
        <v>19.0</v>
      </c>
      <c r="I132" s="1">
        <v>0.8351</v>
      </c>
      <c r="J132" s="1">
        <v>0.675</v>
      </c>
      <c r="K132" s="1">
        <v>0.587</v>
      </c>
      <c r="L132" s="1">
        <v>0.6279</v>
      </c>
      <c r="M132" s="1">
        <v>0.6027</v>
      </c>
    </row>
    <row r="133">
      <c r="A133" s="1" t="s">
        <v>52</v>
      </c>
      <c r="B133" s="1">
        <v>13.0</v>
      </c>
      <c r="C133" s="1" t="s">
        <v>86</v>
      </c>
      <c r="D133" s="1">
        <v>587.0</v>
      </c>
      <c r="E133" s="1">
        <v>62.0</v>
      </c>
      <c r="F133" s="1">
        <v>43.0</v>
      </c>
      <c r="G133" s="1">
        <v>444.0</v>
      </c>
      <c r="H133" s="1">
        <v>38.0</v>
      </c>
      <c r="I133" s="1">
        <v>0.862</v>
      </c>
      <c r="J133" s="1">
        <v>0.5905</v>
      </c>
      <c r="K133" s="1">
        <v>0.62</v>
      </c>
      <c r="L133" s="1">
        <v>0.6049</v>
      </c>
      <c r="M133" s="1">
        <v>0.6139</v>
      </c>
    </row>
    <row r="134">
      <c r="A134" s="1" t="s">
        <v>46</v>
      </c>
      <c r="B134" s="1">
        <v>14.0</v>
      </c>
      <c r="C134" s="1" t="s">
        <v>86</v>
      </c>
      <c r="D134" s="1">
        <v>89.0</v>
      </c>
      <c r="E134" s="1">
        <v>2.0</v>
      </c>
      <c r="F134" s="1">
        <v>1.0</v>
      </c>
      <c r="G134" s="1">
        <v>83.0</v>
      </c>
      <c r="H134" s="1">
        <v>3.0</v>
      </c>
      <c r="I134" s="1">
        <v>0.9551</v>
      </c>
      <c r="J134" s="1">
        <v>0.6667</v>
      </c>
      <c r="K134" s="1">
        <v>0.4</v>
      </c>
      <c r="L134" s="1">
        <v>0.5</v>
      </c>
      <c r="M134" s="1">
        <v>0.4348</v>
      </c>
    </row>
    <row r="135">
      <c r="A135" s="1" t="s">
        <v>58</v>
      </c>
      <c r="B135" s="1">
        <v>15.0</v>
      </c>
      <c r="C135" s="1" t="s">
        <v>86</v>
      </c>
      <c r="D135" s="1">
        <v>117.0</v>
      </c>
      <c r="E135" s="1">
        <v>9.0</v>
      </c>
      <c r="F135" s="1">
        <v>10.0</v>
      </c>
      <c r="G135" s="1">
        <v>90.0</v>
      </c>
      <c r="H135" s="1">
        <v>8.0</v>
      </c>
      <c r="I135" s="1">
        <v>0.8462</v>
      </c>
      <c r="J135" s="1">
        <v>0.4737</v>
      </c>
      <c r="K135" s="1">
        <v>0.5294</v>
      </c>
      <c r="L135" s="1">
        <v>0.5</v>
      </c>
      <c r="M135" s="1">
        <v>0.5172</v>
      </c>
    </row>
    <row r="136">
      <c r="A136" s="1" t="s">
        <v>42</v>
      </c>
      <c r="B136" s="1">
        <v>16.0</v>
      </c>
      <c r="C136" s="1" t="s">
        <v>86</v>
      </c>
      <c r="D136" s="1">
        <v>16.0</v>
      </c>
      <c r="E136" s="1">
        <v>2.0</v>
      </c>
      <c r="F136" s="1">
        <v>1.0</v>
      </c>
      <c r="G136" s="1">
        <v>9.0</v>
      </c>
      <c r="H136" s="1">
        <v>4.0</v>
      </c>
      <c r="I136" s="1">
        <v>0.6875</v>
      </c>
      <c r="J136" s="1">
        <v>0.6667</v>
      </c>
      <c r="K136" s="1">
        <v>0.3333</v>
      </c>
      <c r="L136" s="1">
        <v>0.4444</v>
      </c>
      <c r="M136" s="1">
        <v>0.3704</v>
      </c>
    </row>
    <row r="137">
      <c r="A137" s="1" t="s">
        <v>54</v>
      </c>
      <c r="B137" s="1">
        <v>17.0</v>
      </c>
      <c r="C137" s="1" t="s">
        <v>86</v>
      </c>
      <c r="D137" s="1">
        <v>49.0</v>
      </c>
      <c r="E137" s="1">
        <v>1.0</v>
      </c>
      <c r="F137" s="1">
        <v>3.0</v>
      </c>
      <c r="G137" s="1">
        <v>41.0</v>
      </c>
      <c r="H137" s="1">
        <v>4.0</v>
      </c>
      <c r="I137" s="1">
        <v>0.8571</v>
      </c>
      <c r="J137" s="1">
        <v>0.25</v>
      </c>
      <c r="K137" s="1">
        <v>0.2</v>
      </c>
      <c r="L137" s="1">
        <v>0.2222</v>
      </c>
      <c r="M137" s="1">
        <v>0.2083</v>
      </c>
    </row>
    <row r="141">
      <c r="H141" s="1" t="s">
        <v>88</v>
      </c>
      <c r="P141" s="1" t="s">
        <v>89</v>
      </c>
    </row>
    <row r="142">
      <c r="A142" s="23" t="s">
        <v>40</v>
      </c>
      <c r="B142" s="24" t="s">
        <v>2</v>
      </c>
      <c r="C142" s="24" t="s">
        <v>90</v>
      </c>
      <c r="D142" s="24" t="s">
        <v>91</v>
      </c>
      <c r="E142" s="24" t="s">
        <v>92</v>
      </c>
      <c r="F142" s="24" t="s">
        <v>93</v>
      </c>
      <c r="H142" s="25" t="s">
        <v>40</v>
      </c>
      <c r="I142" s="25" t="s">
        <v>61</v>
      </c>
      <c r="J142" s="25" t="s">
        <v>62</v>
      </c>
      <c r="K142" s="26" t="s">
        <v>63</v>
      </c>
      <c r="L142" s="26" t="s">
        <v>35</v>
      </c>
      <c r="M142" s="26" t="s">
        <v>33</v>
      </c>
      <c r="N142" s="26" t="s">
        <v>34</v>
      </c>
      <c r="O142" s="12"/>
      <c r="P142" s="26" t="s">
        <v>40</v>
      </c>
      <c r="Q142" s="26" t="s">
        <v>61</v>
      </c>
      <c r="R142" s="26" t="s">
        <v>62</v>
      </c>
      <c r="S142" s="26" t="s">
        <v>63</v>
      </c>
      <c r="T142" s="26" t="s">
        <v>35</v>
      </c>
      <c r="U142" s="26" t="s">
        <v>33</v>
      </c>
      <c r="V142" s="26" t="s">
        <v>34</v>
      </c>
      <c r="W142" s="12"/>
      <c r="X142" s="12"/>
      <c r="Y142" s="12"/>
      <c r="Z142" s="12"/>
      <c r="AA142" s="12"/>
      <c r="AB142" s="12"/>
      <c r="AC142" s="12"/>
      <c r="AD142" s="12"/>
    </row>
    <row r="143">
      <c r="A143" s="27" t="s">
        <v>45</v>
      </c>
      <c r="B143" s="28">
        <v>49.0</v>
      </c>
      <c r="C143" s="29">
        <v>1.625</v>
      </c>
      <c r="D143" s="29">
        <v>0.853475</v>
      </c>
      <c r="E143" s="29">
        <v>0.7727499999999999</v>
      </c>
      <c r="F143" s="29">
        <v>0.8097125</v>
      </c>
      <c r="H143" s="25" t="s">
        <v>45</v>
      </c>
      <c r="I143" s="25">
        <v>49.0</v>
      </c>
      <c r="J143" s="25">
        <v>1.25</v>
      </c>
      <c r="K143" s="25">
        <v>1.0</v>
      </c>
      <c r="L143" s="25">
        <v>0.8332999999999999</v>
      </c>
      <c r="M143" s="25">
        <v>0.875</v>
      </c>
      <c r="N143" s="25">
        <v>0.795475</v>
      </c>
      <c r="P143" s="25" t="s">
        <v>45</v>
      </c>
      <c r="Q143" s="25">
        <v>49.0</v>
      </c>
      <c r="R143" s="25">
        <v>2.0</v>
      </c>
      <c r="S143" s="25">
        <v>2.0</v>
      </c>
      <c r="T143" s="25">
        <v>0.786125</v>
      </c>
      <c r="U143" s="25">
        <v>0.8319500000000001</v>
      </c>
      <c r="V143" s="25">
        <v>0.750025</v>
      </c>
    </row>
    <row r="144">
      <c r="A144" s="27" t="s">
        <v>48</v>
      </c>
      <c r="B144" s="28">
        <v>26.0</v>
      </c>
      <c r="C144" s="29">
        <v>2.75</v>
      </c>
      <c r="D144" s="29">
        <v>0.7604249999999999</v>
      </c>
      <c r="E144" s="29">
        <v>0.7749999999999999</v>
      </c>
      <c r="F144" s="29">
        <v>0.7651624999999999</v>
      </c>
      <c r="H144" s="25" t="s">
        <v>48</v>
      </c>
      <c r="I144" s="25">
        <v>26.0</v>
      </c>
      <c r="J144" s="25">
        <v>2.0</v>
      </c>
      <c r="K144" s="25">
        <v>2.0</v>
      </c>
      <c r="L144" s="25">
        <v>0.7818250000000001</v>
      </c>
      <c r="M144" s="25">
        <v>0.7666750000000001</v>
      </c>
      <c r="N144" s="25">
        <v>0.8</v>
      </c>
      <c r="P144" s="25" t="s">
        <v>48</v>
      </c>
      <c r="Q144" s="25">
        <v>26.0</v>
      </c>
      <c r="R144" s="25">
        <v>3.5</v>
      </c>
      <c r="S144" s="25">
        <v>3.0</v>
      </c>
      <c r="T144" s="25">
        <v>0.7485</v>
      </c>
      <c r="U144" s="25">
        <v>0.754175</v>
      </c>
      <c r="V144" s="25">
        <v>0.75</v>
      </c>
    </row>
    <row r="145">
      <c r="A145" s="27" t="s">
        <v>44</v>
      </c>
      <c r="B145" s="28">
        <v>65.0</v>
      </c>
      <c r="C145" s="29">
        <v>4.625</v>
      </c>
      <c r="D145" s="29">
        <v>0.8333999999999999</v>
      </c>
      <c r="E145" s="29">
        <v>0.6785875</v>
      </c>
      <c r="F145" s="29">
        <v>0.7456875000000001</v>
      </c>
      <c r="H145" s="25" t="s">
        <v>47</v>
      </c>
      <c r="I145" s="25">
        <v>274.0</v>
      </c>
      <c r="J145" s="25">
        <v>4.0</v>
      </c>
      <c r="K145" s="25">
        <v>4.0</v>
      </c>
      <c r="L145" s="25">
        <v>0.72485</v>
      </c>
      <c r="M145" s="25">
        <v>0.6928</v>
      </c>
      <c r="N145" s="25">
        <v>0.7699999999999999</v>
      </c>
      <c r="P145" s="25" t="s">
        <v>44</v>
      </c>
      <c r="Q145" s="25">
        <v>65.0</v>
      </c>
      <c r="R145" s="25">
        <v>3.75</v>
      </c>
      <c r="S145" s="25">
        <v>2.5</v>
      </c>
      <c r="T145" s="25">
        <v>0.75825</v>
      </c>
      <c r="U145" s="25">
        <v>0.83435</v>
      </c>
      <c r="V145" s="25">
        <v>0.69645</v>
      </c>
    </row>
    <row r="146">
      <c r="A146" s="27" t="s">
        <v>47</v>
      </c>
      <c r="B146" s="28">
        <v>274.0</v>
      </c>
      <c r="C146" s="29">
        <v>4.75</v>
      </c>
      <c r="D146" s="29">
        <v>0.6790500000000002</v>
      </c>
      <c r="E146" s="29">
        <v>0.7675000000000001</v>
      </c>
      <c r="F146" s="29">
        <v>0.7174374999999998</v>
      </c>
      <c r="H146" s="25" t="s">
        <v>44</v>
      </c>
      <c r="I146" s="25">
        <v>65.0</v>
      </c>
      <c r="J146" s="25">
        <v>5.5</v>
      </c>
      <c r="K146" s="25">
        <v>4.5</v>
      </c>
      <c r="L146" s="25">
        <v>0.733125</v>
      </c>
      <c r="M146" s="25">
        <v>0.83245</v>
      </c>
      <c r="N146" s="25">
        <v>0.6607250000000001</v>
      </c>
      <c r="P146" s="25" t="s">
        <v>47</v>
      </c>
      <c r="Q146" s="25">
        <v>274.0</v>
      </c>
      <c r="R146" s="25">
        <v>5.5</v>
      </c>
      <c r="S146" s="25">
        <v>5.0</v>
      </c>
      <c r="T146" s="25">
        <v>0.710025</v>
      </c>
      <c r="U146" s="25">
        <v>0.6653</v>
      </c>
      <c r="V146" s="25">
        <v>0.7649999999999999</v>
      </c>
    </row>
    <row r="147">
      <c r="A147" s="27" t="s">
        <v>49</v>
      </c>
      <c r="B147" s="28">
        <v>95.0</v>
      </c>
      <c r="C147" s="29">
        <v>6.375</v>
      </c>
      <c r="D147" s="29">
        <v>0.7663249999999999</v>
      </c>
      <c r="E147" s="29">
        <v>0.6687500000000001</v>
      </c>
      <c r="F147" s="29">
        <v>0.7116250000000001</v>
      </c>
      <c r="H147" s="25" t="s">
        <v>53</v>
      </c>
      <c r="I147" s="25">
        <v>897.0</v>
      </c>
      <c r="J147" s="25">
        <v>6.5</v>
      </c>
      <c r="K147" s="25">
        <v>6.5</v>
      </c>
      <c r="L147" s="25">
        <v>0.6852</v>
      </c>
      <c r="M147" s="25">
        <v>0.6719</v>
      </c>
      <c r="N147" s="25">
        <v>0.6994</v>
      </c>
      <c r="P147" s="25" t="s">
        <v>49</v>
      </c>
      <c r="Q147" s="25">
        <v>95.0</v>
      </c>
      <c r="R147" s="25">
        <v>5.5</v>
      </c>
      <c r="S147" s="25">
        <v>5.0</v>
      </c>
      <c r="T147" s="25">
        <v>0.724825</v>
      </c>
      <c r="U147" s="25">
        <v>0.7871500000000001</v>
      </c>
      <c r="V147" s="25">
        <v>0.675</v>
      </c>
    </row>
    <row r="148">
      <c r="A148" s="27" t="s">
        <v>53</v>
      </c>
      <c r="B148" s="28">
        <v>897.0</v>
      </c>
      <c r="C148" s="29">
        <v>6.875</v>
      </c>
      <c r="D148" s="29">
        <v>0.6675874999999999</v>
      </c>
      <c r="E148" s="29">
        <v>0.7046</v>
      </c>
      <c r="F148" s="29">
        <v>0.6849249999999999</v>
      </c>
      <c r="H148" s="25" t="s">
        <v>51</v>
      </c>
      <c r="I148" s="25">
        <v>662.0</v>
      </c>
      <c r="J148" s="25">
        <v>7.0</v>
      </c>
      <c r="K148" s="25">
        <v>7.0</v>
      </c>
      <c r="L148" s="25">
        <v>0.679875</v>
      </c>
      <c r="M148" s="25">
        <v>0.678025</v>
      </c>
      <c r="N148" s="25">
        <v>0.683225</v>
      </c>
      <c r="P148" s="25" t="s">
        <v>53</v>
      </c>
      <c r="Q148" s="25">
        <v>897.0</v>
      </c>
      <c r="R148" s="25">
        <v>7.25</v>
      </c>
      <c r="S148" s="25">
        <v>6.5</v>
      </c>
      <c r="T148" s="25">
        <v>0.6846500000000001</v>
      </c>
      <c r="U148" s="25">
        <v>0.663275</v>
      </c>
      <c r="V148" s="25">
        <v>0.7098000000000001</v>
      </c>
    </row>
    <row r="149">
      <c r="A149" s="27" t="s">
        <v>51</v>
      </c>
      <c r="B149" s="28">
        <v>662.0</v>
      </c>
      <c r="C149" s="29">
        <v>7.75</v>
      </c>
      <c r="D149" s="29">
        <v>0.6741</v>
      </c>
      <c r="E149" s="29">
        <v>0.6851250000000001</v>
      </c>
      <c r="F149" s="29">
        <v>0.6785000000000001</v>
      </c>
      <c r="H149" s="25" t="s">
        <v>49</v>
      </c>
      <c r="I149" s="25">
        <v>95.0</v>
      </c>
      <c r="J149" s="25">
        <v>7.25</v>
      </c>
      <c r="K149" s="25">
        <v>6.0</v>
      </c>
      <c r="L149" s="25">
        <v>0.698425</v>
      </c>
      <c r="M149" s="25">
        <v>0.7454999999999999</v>
      </c>
      <c r="N149" s="25">
        <v>0.6625</v>
      </c>
      <c r="P149" s="25" t="s">
        <v>50</v>
      </c>
      <c r="Q149" s="25">
        <v>679.0</v>
      </c>
      <c r="R149" s="25">
        <v>7.75</v>
      </c>
      <c r="S149" s="25">
        <v>7.5</v>
      </c>
      <c r="T149" s="25">
        <v>0.6863999999999999</v>
      </c>
      <c r="U149" s="25">
        <v>0.72605</v>
      </c>
      <c r="V149" s="25">
        <v>0.65325</v>
      </c>
    </row>
    <row r="150">
      <c r="A150" s="27" t="s">
        <v>50</v>
      </c>
      <c r="B150" s="28">
        <v>679.0</v>
      </c>
      <c r="C150" s="29">
        <v>7.875</v>
      </c>
      <c r="D150" s="29">
        <v>0.7346374999999999</v>
      </c>
      <c r="E150" s="29">
        <v>0.6424874999999999</v>
      </c>
      <c r="F150" s="29">
        <v>0.68415</v>
      </c>
      <c r="H150" s="25" t="s">
        <v>50</v>
      </c>
      <c r="I150" s="25">
        <v>679.0</v>
      </c>
      <c r="J150" s="25">
        <v>8.0</v>
      </c>
      <c r="K150" s="25">
        <v>8.5</v>
      </c>
      <c r="L150" s="25">
        <v>0.6819</v>
      </c>
      <c r="M150" s="25">
        <v>0.743225</v>
      </c>
      <c r="N150" s="25">
        <v>0.631725</v>
      </c>
      <c r="P150" s="25" t="s">
        <v>43</v>
      </c>
      <c r="Q150" s="25">
        <v>194.0</v>
      </c>
      <c r="R150" s="25">
        <v>8.0</v>
      </c>
      <c r="S150" s="25">
        <v>7.5</v>
      </c>
      <c r="T150" s="25">
        <v>0.684325</v>
      </c>
      <c r="U150" s="25">
        <v>0.698025</v>
      </c>
      <c r="V150" s="25">
        <v>0.673925</v>
      </c>
    </row>
    <row r="151">
      <c r="A151" s="27" t="s">
        <v>43</v>
      </c>
      <c r="B151" s="28">
        <v>194.0</v>
      </c>
      <c r="C151" s="29">
        <v>9.75</v>
      </c>
      <c r="D151" s="29">
        <v>0.6843125</v>
      </c>
      <c r="E151" s="29">
        <v>0.6413249999999999</v>
      </c>
      <c r="F151" s="29">
        <v>0.6610875</v>
      </c>
      <c r="H151" s="25" t="s">
        <v>55</v>
      </c>
      <c r="I151" s="25">
        <v>469.0</v>
      </c>
      <c r="J151" s="25">
        <v>10.25</v>
      </c>
      <c r="K151" s="25">
        <v>10.5</v>
      </c>
      <c r="L151" s="25">
        <v>0.6554500000000001</v>
      </c>
      <c r="M151" s="25">
        <v>0.5755250000000001</v>
      </c>
      <c r="N151" s="25">
        <v>0.76135</v>
      </c>
      <c r="P151" s="25" t="s">
        <v>51</v>
      </c>
      <c r="Q151" s="25">
        <v>662.0</v>
      </c>
      <c r="R151" s="25">
        <v>8.5</v>
      </c>
      <c r="S151" s="25">
        <v>9.0</v>
      </c>
      <c r="T151" s="25">
        <v>0.6771250000000001</v>
      </c>
      <c r="U151" s="25">
        <v>0.670175</v>
      </c>
      <c r="V151" s="25">
        <v>0.687025</v>
      </c>
    </row>
    <row r="152">
      <c r="A152" s="27" t="s">
        <v>56</v>
      </c>
      <c r="B152" s="28">
        <v>446.0</v>
      </c>
      <c r="C152" s="29">
        <v>10.875</v>
      </c>
      <c r="D152" s="29">
        <v>0.6607625</v>
      </c>
      <c r="E152" s="29">
        <v>0.6432375</v>
      </c>
      <c r="F152" s="29">
        <v>0.6516125</v>
      </c>
      <c r="H152" s="25" t="s">
        <v>57</v>
      </c>
      <c r="I152" s="25">
        <v>153.0</v>
      </c>
      <c r="J152" s="25">
        <v>10.5</v>
      </c>
      <c r="K152" s="25">
        <v>11.5</v>
      </c>
      <c r="L152" s="25">
        <v>0.6523000000000001</v>
      </c>
      <c r="M152" s="25">
        <v>0.6494</v>
      </c>
      <c r="N152" s="25">
        <v>0.6599999999999999</v>
      </c>
      <c r="P152" s="25" t="s">
        <v>46</v>
      </c>
      <c r="Q152" s="25">
        <v>89.0</v>
      </c>
      <c r="R152" s="25">
        <v>10.0</v>
      </c>
      <c r="S152" s="25">
        <v>11.0</v>
      </c>
      <c r="T152" s="25">
        <v>0.64585</v>
      </c>
      <c r="U152" s="25">
        <v>0.791675</v>
      </c>
      <c r="V152" s="25">
        <v>0.55</v>
      </c>
    </row>
    <row r="153">
      <c r="A153" s="27" t="s">
        <v>52</v>
      </c>
      <c r="B153" s="28">
        <v>587.0</v>
      </c>
      <c r="C153" s="29">
        <v>11.375</v>
      </c>
      <c r="D153" s="29">
        <v>0.6557124999999999</v>
      </c>
      <c r="E153" s="29">
        <v>0.64</v>
      </c>
      <c r="F153" s="29">
        <v>0.646175</v>
      </c>
      <c r="H153" s="25" t="s">
        <v>56</v>
      </c>
      <c r="I153" s="25">
        <v>446.0</v>
      </c>
      <c r="J153" s="25">
        <v>11.0</v>
      </c>
      <c r="K153" s="25">
        <v>12.0</v>
      </c>
      <c r="L153" s="25">
        <v>0.65265</v>
      </c>
      <c r="M153" s="25">
        <v>0.6600250000000001</v>
      </c>
      <c r="N153" s="25">
        <v>0.64585</v>
      </c>
      <c r="P153" s="25" t="s">
        <v>56</v>
      </c>
      <c r="Q153" s="25">
        <v>446.0</v>
      </c>
      <c r="R153" s="25">
        <v>10.75</v>
      </c>
      <c r="S153" s="25">
        <v>11.5</v>
      </c>
      <c r="T153" s="25">
        <v>0.650575</v>
      </c>
      <c r="U153" s="25">
        <v>0.6615000000000001</v>
      </c>
      <c r="V153" s="25">
        <v>0.640625</v>
      </c>
    </row>
    <row r="154">
      <c r="A154" s="27" t="s">
        <v>57</v>
      </c>
      <c r="B154" s="28">
        <v>153.0</v>
      </c>
      <c r="C154" s="29">
        <v>11.375</v>
      </c>
      <c r="D154" s="29">
        <v>0.599575</v>
      </c>
      <c r="E154" s="29">
        <v>0.6649999999999999</v>
      </c>
      <c r="F154" s="29">
        <v>0.6276999999999999</v>
      </c>
      <c r="H154" s="25" t="s">
        <v>52</v>
      </c>
      <c r="I154" s="25">
        <v>587.0</v>
      </c>
      <c r="J154" s="25">
        <v>11.0</v>
      </c>
      <c r="K154" s="25">
        <v>11.0</v>
      </c>
      <c r="L154" s="25">
        <v>0.643175</v>
      </c>
      <c r="M154" s="25">
        <v>0.6705500000000001</v>
      </c>
      <c r="N154" s="25">
        <v>0.62</v>
      </c>
      <c r="P154" s="25" t="s">
        <v>52</v>
      </c>
      <c r="Q154" s="25">
        <v>587.0</v>
      </c>
      <c r="R154" s="25">
        <v>11.75</v>
      </c>
      <c r="S154" s="25">
        <v>12.0</v>
      </c>
      <c r="T154" s="25">
        <v>0.6491750000000001</v>
      </c>
      <c r="U154" s="25">
        <v>0.640875</v>
      </c>
      <c r="V154" s="25">
        <v>0.6599999999999999</v>
      </c>
    </row>
    <row r="155">
      <c r="A155" s="27" t="s">
        <v>55</v>
      </c>
      <c r="B155" s="28">
        <v>469.0</v>
      </c>
      <c r="C155" s="29">
        <v>12.125</v>
      </c>
      <c r="D155" s="29">
        <v>0.5531750000000001</v>
      </c>
      <c r="E155" s="29">
        <v>0.7329500000000001</v>
      </c>
      <c r="F155" s="29">
        <v>0.6296750000000001</v>
      </c>
      <c r="H155" s="25" t="s">
        <v>43</v>
      </c>
      <c r="I155" s="25">
        <v>194.0</v>
      </c>
      <c r="J155" s="25">
        <v>11.5</v>
      </c>
      <c r="K155" s="25">
        <v>11.5</v>
      </c>
      <c r="L155" s="25">
        <v>0.6378499999999999</v>
      </c>
      <c r="M155" s="25">
        <v>0.6706000000000001</v>
      </c>
      <c r="N155" s="25">
        <v>0.608725</v>
      </c>
      <c r="P155" s="25" t="s">
        <v>57</v>
      </c>
      <c r="Q155" s="25">
        <v>153.0</v>
      </c>
      <c r="R155" s="25">
        <v>12.25</v>
      </c>
      <c r="S155" s="25">
        <v>12.5</v>
      </c>
      <c r="T155" s="25">
        <v>0.6031</v>
      </c>
      <c r="U155" s="25">
        <v>0.54975</v>
      </c>
      <c r="V155" s="25">
        <v>0.6699999999999999</v>
      </c>
    </row>
    <row r="156">
      <c r="A156" s="27" t="s">
        <v>46</v>
      </c>
      <c r="B156" s="28">
        <v>89.0</v>
      </c>
      <c r="C156" s="29">
        <v>12.125</v>
      </c>
      <c r="D156" s="29">
        <v>0.697925</v>
      </c>
      <c r="E156" s="29">
        <v>0.45</v>
      </c>
      <c r="F156" s="29">
        <v>0.5401875</v>
      </c>
      <c r="H156" s="25" t="s">
        <v>42</v>
      </c>
      <c r="I156" s="25">
        <v>16.0</v>
      </c>
      <c r="J156" s="25">
        <v>13.0</v>
      </c>
      <c r="K156" s="25">
        <v>15.5</v>
      </c>
      <c r="L156" s="25">
        <v>0.529025</v>
      </c>
      <c r="M156" s="25">
        <v>0.78335</v>
      </c>
      <c r="N156" s="25">
        <v>0.41664999999999996</v>
      </c>
      <c r="P156" s="25" t="s">
        <v>42</v>
      </c>
      <c r="Q156" s="25">
        <v>16.0</v>
      </c>
      <c r="R156" s="25">
        <v>13.0</v>
      </c>
      <c r="S156" s="25">
        <v>15.5</v>
      </c>
      <c r="T156" s="25">
        <v>0.529025</v>
      </c>
      <c r="U156" s="25">
        <v>0.78335</v>
      </c>
      <c r="V156" s="25">
        <v>0.41664999999999996</v>
      </c>
    </row>
    <row r="157">
      <c r="A157" s="27" t="s">
        <v>42</v>
      </c>
      <c r="B157" s="28">
        <v>16.0</v>
      </c>
      <c r="C157" s="29">
        <v>13.0</v>
      </c>
      <c r="D157" s="29">
        <v>0.7833499999999999</v>
      </c>
      <c r="E157" s="29">
        <v>0.41664999999999996</v>
      </c>
      <c r="F157" s="29">
        <v>0.529025</v>
      </c>
      <c r="H157" s="25" t="s">
        <v>46</v>
      </c>
      <c r="I157" s="25">
        <v>89.0</v>
      </c>
      <c r="J157" s="25">
        <v>14.25</v>
      </c>
      <c r="K157" s="25">
        <v>15.5</v>
      </c>
      <c r="L157" s="25">
        <v>0.434525</v>
      </c>
      <c r="M157" s="25">
        <v>0.604175</v>
      </c>
      <c r="N157" s="25">
        <v>0.35</v>
      </c>
      <c r="P157" s="25" t="s">
        <v>54</v>
      </c>
      <c r="Q157" s="25">
        <v>49.0</v>
      </c>
      <c r="R157" s="25">
        <v>13.75</v>
      </c>
      <c r="S157" s="25">
        <v>14.5</v>
      </c>
      <c r="T157" s="25">
        <v>0.45304999999999995</v>
      </c>
      <c r="U157" s="25">
        <v>0.4625</v>
      </c>
      <c r="V157" s="25">
        <v>0.44999999999999996</v>
      </c>
    </row>
    <row r="158">
      <c r="A158" s="27" t="s">
        <v>54</v>
      </c>
      <c r="B158" s="28">
        <v>49.0</v>
      </c>
      <c r="C158" s="29">
        <v>14.125</v>
      </c>
      <c r="D158" s="29">
        <v>0.48125</v>
      </c>
      <c r="E158" s="29">
        <v>0.45</v>
      </c>
      <c r="F158" s="29">
        <v>0.461375</v>
      </c>
      <c r="H158" s="25" t="s">
        <v>54</v>
      </c>
      <c r="I158" s="25">
        <v>49.0</v>
      </c>
      <c r="J158" s="25">
        <v>14.5</v>
      </c>
      <c r="K158" s="25">
        <v>15.5</v>
      </c>
      <c r="L158" s="25">
        <v>0.4697</v>
      </c>
      <c r="M158" s="25">
        <v>0.5</v>
      </c>
      <c r="N158" s="25">
        <v>0.45</v>
      </c>
      <c r="P158" s="25" t="s">
        <v>55</v>
      </c>
      <c r="Q158" s="25">
        <v>469.0</v>
      </c>
      <c r="R158" s="25">
        <v>14.0</v>
      </c>
      <c r="S158" s="25">
        <v>14.0</v>
      </c>
      <c r="T158" s="25">
        <v>0.6039</v>
      </c>
      <c r="U158" s="25">
        <v>0.530825</v>
      </c>
      <c r="V158" s="25">
        <v>0.70455</v>
      </c>
    </row>
    <row r="159">
      <c r="A159" s="27" t="s">
        <v>58</v>
      </c>
      <c r="B159" s="28">
        <v>117.0</v>
      </c>
      <c r="C159" s="29">
        <v>15.625</v>
      </c>
      <c r="D159" s="29">
        <v>0.4655875</v>
      </c>
      <c r="E159" s="29">
        <v>0.49265</v>
      </c>
      <c r="F159" s="29">
        <v>0.47240000000000004</v>
      </c>
      <c r="H159" s="25" t="s">
        <v>58</v>
      </c>
      <c r="I159" s="25">
        <v>117.0</v>
      </c>
      <c r="J159" s="25">
        <v>15.5</v>
      </c>
      <c r="K159" s="25">
        <v>15.5</v>
      </c>
      <c r="L159" s="25">
        <v>0.45615</v>
      </c>
      <c r="M159" s="25">
        <v>0.460675</v>
      </c>
      <c r="N159" s="25">
        <v>0.4558749999999999</v>
      </c>
      <c r="P159" s="25" t="s">
        <v>58</v>
      </c>
      <c r="Q159" s="25">
        <v>117.0</v>
      </c>
      <c r="R159" s="25">
        <v>15.75</v>
      </c>
      <c r="S159" s="25">
        <v>16.0</v>
      </c>
      <c r="T159" s="25">
        <v>0.48865000000000003</v>
      </c>
      <c r="U159" s="25">
        <v>0.47050000000000003</v>
      </c>
      <c r="V159" s="25">
        <v>0.529425</v>
      </c>
    </row>
    <row r="160">
      <c r="E160" s="30"/>
      <c r="F160" s="30"/>
    </row>
    <row r="164">
      <c r="A164" s="31" t="s">
        <v>94</v>
      </c>
      <c r="B164" s="31" t="s">
        <v>95</v>
      </c>
      <c r="C164" s="31" t="s">
        <v>96</v>
      </c>
      <c r="D164" s="31" t="s">
        <v>97</v>
      </c>
    </row>
  </sheetData>
  <autoFilter ref="$A$1:$M$137">
    <sortState ref="A1:M137">
      <sortCondition descending="1" ref="L1:L137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5"/>
  </cols>
  <sheetData>
    <row r="1">
      <c r="A1" s="12" t="s">
        <v>40</v>
      </c>
      <c r="B1" s="12" t="s">
        <v>61</v>
      </c>
      <c r="C1" s="12" t="s">
        <v>62</v>
      </c>
      <c r="D1" s="12" t="s">
        <v>63</v>
      </c>
      <c r="E1" s="12" t="s">
        <v>35</v>
      </c>
      <c r="F1" s="12" t="s">
        <v>33</v>
      </c>
      <c r="G1" s="12" t="s">
        <v>34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9" t="s">
        <v>45</v>
      </c>
      <c r="B2" s="9">
        <v>49.0</v>
      </c>
      <c r="C2" s="9">
        <v>1.625</v>
      </c>
      <c r="D2" s="30">
        <v>1.5</v>
      </c>
      <c r="E2" s="30">
        <v>0.8097125</v>
      </c>
      <c r="F2" s="30">
        <v>0.853475</v>
      </c>
      <c r="G2" s="9">
        <v>0.7727499999999999</v>
      </c>
    </row>
    <row r="3">
      <c r="A3" s="9" t="s">
        <v>48</v>
      </c>
      <c r="B3" s="9">
        <v>26.0</v>
      </c>
      <c r="C3" s="9">
        <v>2.75</v>
      </c>
      <c r="D3" s="30">
        <v>2.0</v>
      </c>
      <c r="E3" s="30">
        <v>0.7651624999999999</v>
      </c>
      <c r="F3" s="30">
        <v>0.7604249999999999</v>
      </c>
      <c r="G3" s="9">
        <v>0.7749999999999999</v>
      </c>
    </row>
    <row r="4">
      <c r="A4" s="9" t="s">
        <v>44</v>
      </c>
      <c r="B4" s="9">
        <v>65.0</v>
      </c>
      <c r="C4" s="9">
        <v>4.625</v>
      </c>
      <c r="D4" s="30">
        <v>3.5</v>
      </c>
      <c r="E4" s="30">
        <v>0.7456875000000001</v>
      </c>
      <c r="F4" s="30">
        <v>0.8333999999999999</v>
      </c>
      <c r="G4" s="9">
        <v>0.6785875</v>
      </c>
    </row>
    <row r="5">
      <c r="A5" s="9" t="s">
        <v>47</v>
      </c>
      <c r="B5" s="9">
        <v>274.0</v>
      </c>
      <c r="C5" s="9">
        <v>4.75</v>
      </c>
      <c r="D5" s="30">
        <v>4.5</v>
      </c>
      <c r="E5" s="30">
        <v>0.7174374999999998</v>
      </c>
      <c r="F5" s="30">
        <v>0.6790500000000002</v>
      </c>
      <c r="G5" s="9">
        <v>0.7675000000000001</v>
      </c>
    </row>
    <row r="6">
      <c r="A6" s="9" t="s">
        <v>49</v>
      </c>
      <c r="B6" s="9">
        <v>95.0</v>
      </c>
      <c r="C6" s="9">
        <v>6.375</v>
      </c>
      <c r="D6" s="30">
        <v>5.0</v>
      </c>
      <c r="E6" s="30">
        <v>0.7116250000000001</v>
      </c>
      <c r="F6" s="30">
        <v>0.7663249999999999</v>
      </c>
      <c r="G6" s="9">
        <v>0.6687500000000001</v>
      </c>
    </row>
    <row r="7">
      <c r="A7" s="9" t="s">
        <v>53</v>
      </c>
      <c r="B7" s="9">
        <v>897.0</v>
      </c>
      <c r="C7" s="9">
        <v>6.875</v>
      </c>
      <c r="D7" s="30">
        <v>6.5</v>
      </c>
      <c r="E7" s="30">
        <v>0.6849249999999999</v>
      </c>
      <c r="F7" s="30">
        <v>0.6675874999999999</v>
      </c>
      <c r="G7" s="9">
        <v>0.7046</v>
      </c>
    </row>
    <row r="8">
      <c r="A8" s="9" t="s">
        <v>51</v>
      </c>
      <c r="B8" s="9">
        <v>662.0</v>
      </c>
      <c r="C8" s="9">
        <v>7.75</v>
      </c>
      <c r="D8" s="30">
        <v>8.0</v>
      </c>
      <c r="E8" s="30">
        <v>0.6785000000000001</v>
      </c>
      <c r="F8" s="30">
        <v>0.6741</v>
      </c>
      <c r="G8" s="9">
        <v>0.6851250000000001</v>
      </c>
    </row>
    <row r="9">
      <c r="A9" s="9" t="s">
        <v>50</v>
      </c>
      <c r="B9" s="9">
        <v>679.0</v>
      </c>
      <c r="C9" s="9">
        <v>7.875</v>
      </c>
      <c r="D9" s="30">
        <v>8.0</v>
      </c>
      <c r="E9" s="30">
        <v>0.68415</v>
      </c>
      <c r="F9" s="30">
        <v>0.7346374999999999</v>
      </c>
      <c r="G9" s="9">
        <v>0.6424874999999999</v>
      </c>
    </row>
    <row r="10">
      <c r="A10" s="9" t="s">
        <v>43</v>
      </c>
      <c r="B10" s="9">
        <v>194.0</v>
      </c>
      <c r="C10" s="9">
        <v>9.75</v>
      </c>
      <c r="D10" s="30">
        <v>9.5</v>
      </c>
      <c r="E10" s="30">
        <v>0.6610875</v>
      </c>
      <c r="F10" s="30">
        <v>0.6843125</v>
      </c>
      <c r="G10" s="9">
        <v>0.6413249999999999</v>
      </c>
    </row>
    <row r="11">
      <c r="A11" s="9" t="s">
        <v>56</v>
      </c>
      <c r="B11" s="9">
        <v>446.0</v>
      </c>
      <c r="C11" s="9">
        <v>10.875</v>
      </c>
      <c r="D11" s="30">
        <v>11.5</v>
      </c>
      <c r="E11" s="30">
        <v>0.6516125</v>
      </c>
      <c r="F11" s="30">
        <v>0.6607625</v>
      </c>
      <c r="G11" s="9">
        <v>0.6432375</v>
      </c>
    </row>
    <row r="12">
      <c r="A12" s="9" t="s">
        <v>52</v>
      </c>
      <c r="B12" s="9">
        <v>587.0</v>
      </c>
      <c r="C12" s="9">
        <v>11.375</v>
      </c>
      <c r="D12" s="30">
        <v>11.5</v>
      </c>
      <c r="E12" s="30">
        <v>0.646175</v>
      </c>
      <c r="F12" s="30">
        <v>0.6557124999999999</v>
      </c>
      <c r="G12" s="9">
        <v>0.64</v>
      </c>
    </row>
    <row r="13">
      <c r="A13" s="9" t="s">
        <v>57</v>
      </c>
      <c r="B13" s="9">
        <v>153.0</v>
      </c>
      <c r="C13" s="9">
        <v>11.375</v>
      </c>
      <c r="D13" s="30">
        <v>11.5</v>
      </c>
      <c r="E13" s="30">
        <v>0.6276999999999999</v>
      </c>
      <c r="F13" s="30">
        <v>0.599575</v>
      </c>
      <c r="G13" s="9">
        <v>0.6649999999999999</v>
      </c>
    </row>
    <row r="14">
      <c r="A14" s="9" t="s">
        <v>55</v>
      </c>
      <c r="B14" s="9">
        <v>469.0</v>
      </c>
      <c r="C14" s="9">
        <v>12.125</v>
      </c>
      <c r="D14" s="30">
        <v>13.0</v>
      </c>
      <c r="E14" s="30">
        <v>0.6296750000000001</v>
      </c>
      <c r="F14" s="30">
        <v>0.5531750000000001</v>
      </c>
      <c r="G14" s="9">
        <v>0.7329500000000001</v>
      </c>
    </row>
    <row r="15">
      <c r="A15" s="9" t="s">
        <v>46</v>
      </c>
      <c r="B15" s="9">
        <v>89.0</v>
      </c>
      <c r="C15" s="9">
        <v>12.125</v>
      </c>
      <c r="D15" s="30">
        <v>13.0</v>
      </c>
      <c r="E15" s="30">
        <v>0.5401875</v>
      </c>
      <c r="F15" s="30">
        <v>0.697925</v>
      </c>
      <c r="G15" s="9">
        <v>0.45</v>
      </c>
    </row>
    <row r="16">
      <c r="A16" s="9" t="s">
        <v>42</v>
      </c>
      <c r="B16" s="9">
        <v>16.0</v>
      </c>
      <c r="C16" s="9">
        <v>13.0</v>
      </c>
      <c r="D16" s="30">
        <v>15.5</v>
      </c>
      <c r="E16" s="30">
        <v>0.529025</v>
      </c>
      <c r="F16" s="30">
        <v>0.7833499999999999</v>
      </c>
      <c r="G16" s="9">
        <v>0.41664999999999996</v>
      </c>
    </row>
    <row r="17">
      <c r="A17" s="9" t="s">
        <v>54</v>
      </c>
      <c r="B17" s="9">
        <v>49.0</v>
      </c>
      <c r="C17" s="9">
        <v>14.125</v>
      </c>
      <c r="D17" s="30">
        <v>14.5</v>
      </c>
      <c r="E17" s="30">
        <v>0.461375</v>
      </c>
      <c r="F17" s="30">
        <v>0.48125</v>
      </c>
      <c r="G17" s="9">
        <v>0.45</v>
      </c>
    </row>
    <row r="18">
      <c r="A18" s="9" t="s">
        <v>58</v>
      </c>
      <c r="B18" s="9">
        <v>117.0</v>
      </c>
      <c r="C18" s="9">
        <v>15.625</v>
      </c>
      <c r="D18" s="30">
        <v>16.0</v>
      </c>
      <c r="E18" s="30">
        <v>0.47240000000000004</v>
      </c>
      <c r="F18" s="30">
        <v>0.4655875</v>
      </c>
      <c r="G18" s="9">
        <v>0.49265</v>
      </c>
    </row>
    <row r="19">
      <c r="A19" s="9" t="s">
        <v>36</v>
      </c>
      <c r="B19" s="9">
        <v>286.29411764705884</v>
      </c>
      <c r="C19" s="9">
        <v>9.0</v>
      </c>
      <c r="D19" s="30">
        <v>9.0</v>
      </c>
      <c r="E19" s="30">
        <v>0.6480257352941173</v>
      </c>
      <c r="F19" s="30">
        <v>0.6794500000000001</v>
      </c>
      <c r="G19" s="9">
        <v>0.6368595588235293</v>
      </c>
    </row>
    <row r="23">
      <c r="A23" s="12" t="s">
        <v>40</v>
      </c>
      <c r="B23" s="12" t="s">
        <v>61</v>
      </c>
      <c r="C23" s="12" t="s">
        <v>62</v>
      </c>
      <c r="D23" s="12" t="s">
        <v>63</v>
      </c>
      <c r="E23" s="12" t="s">
        <v>35</v>
      </c>
      <c r="F23" s="12" t="s">
        <v>33</v>
      </c>
      <c r="G23" s="12" t="s">
        <v>34</v>
      </c>
    </row>
    <row r="24">
      <c r="A24" s="9" t="s">
        <v>45</v>
      </c>
      <c r="B24" s="9">
        <v>49.0</v>
      </c>
      <c r="C24" s="9">
        <v>1.25</v>
      </c>
      <c r="D24" s="9">
        <v>1.0</v>
      </c>
      <c r="E24" s="9">
        <v>0.8332999999999999</v>
      </c>
      <c r="F24" s="9">
        <v>0.875</v>
      </c>
      <c r="G24" s="9">
        <v>0.795475</v>
      </c>
    </row>
    <row r="25">
      <c r="A25" s="9" t="s">
        <v>48</v>
      </c>
      <c r="B25" s="9">
        <v>26.0</v>
      </c>
      <c r="C25" s="9">
        <v>2.0</v>
      </c>
      <c r="D25" s="9">
        <v>2.0</v>
      </c>
      <c r="E25" s="9">
        <v>0.7818250000000001</v>
      </c>
      <c r="F25" s="9">
        <v>0.7666750000000001</v>
      </c>
      <c r="G25" s="9">
        <v>0.8</v>
      </c>
    </row>
    <row r="26">
      <c r="A26" s="9" t="s">
        <v>47</v>
      </c>
      <c r="B26" s="9">
        <v>274.0</v>
      </c>
      <c r="C26" s="9">
        <v>4.0</v>
      </c>
      <c r="D26" s="9">
        <v>4.0</v>
      </c>
      <c r="E26" s="9">
        <v>0.72485</v>
      </c>
      <c r="F26" s="9">
        <v>0.6928</v>
      </c>
      <c r="G26" s="9">
        <v>0.7699999999999999</v>
      </c>
    </row>
    <row r="27">
      <c r="A27" s="9" t="s">
        <v>44</v>
      </c>
      <c r="B27" s="9">
        <v>65.0</v>
      </c>
      <c r="C27" s="9">
        <v>5.5</v>
      </c>
      <c r="D27" s="9">
        <v>4.5</v>
      </c>
      <c r="E27" s="9">
        <v>0.733125</v>
      </c>
      <c r="F27" s="9">
        <v>0.83245</v>
      </c>
      <c r="G27" s="9">
        <v>0.6607250000000001</v>
      </c>
    </row>
    <row r="28">
      <c r="A28" s="9" t="s">
        <v>53</v>
      </c>
      <c r="B28" s="9">
        <v>897.0</v>
      </c>
      <c r="C28" s="9">
        <v>6.5</v>
      </c>
      <c r="D28" s="9">
        <v>6.5</v>
      </c>
      <c r="E28" s="9">
        <v>0.6852</v>
      </c>
      <c r="F28" s="9">
        <v>0.6719</v>
      </c>
      <c r="G28" s="9">
        <v>0.6994</v>
      </c>
    </row>
    <row r="29">
      <c r="A29" s="9" t="s">
        <v>51</v>
      </c>
      <c r="B29" s="9">
        <v>662.0</v>
      </c>
      <c r="C29" s="9">
        <v>7.0</v>
      </c>
      <c r="D29" s="9">
        <v>7.0</v>
      </c>
      <c r="E29" s="9">
        <v>0.679875</v>
      </c>
      <c r="F29" s="9">
        <v>0.678025</v>
      </c>
      <c r="G29" s="9">
        <v>0.683225</v>
      </c>
    </row>
    <row r="30">
      <c r="A30" s="9" t="s">
        <v>49</v>
      </c>
      <c r="B30" s="9">
        <v>95.0</v>
      </c>
      <c r="C30" s="9">
        <v>7.25</v>
      </c>
      <c r="D30" s="9">
        <v>6.0</v>
      </c>
      <c r="E30" s="9">
        <v>0.698425</v>
      </c>
      <c r="F30" s="9">
        <v>0.7454999999999999</v>
      </c>
      <c r="G30" s="9">
        <v>0.6625</v>
      </c>
    </row>
    <row r="31">
      <c r="A31" s="9" t="s">
        <v>50</v>
      </c>
      <c r="B31" s="9">
        <v>679.0</v>
      </c>
      <c r="C31" s="9">
        <v>8.0</v>
      </c>
      <c r="D31" s="9">
        <v>8.5</v>
      </c>
      <c r="E31" s="9">
        <v>0.6819</v>
      </c>
      <c r="F31" s="9">
        <v>0.743225</v>
      </c>
      <c r="G31" s="9">
        <v>0.631725</v>
      </c>
    </row>
    <row r="32">
      <c r="A32" s="9" t="s">
        <v>55</v>
      </c>
      <c r="B32" s="9">
        <v>469.0</v>
      </c>
      <c r="C32" s="9">
        <v>10.25</v>
      </c>
      <c r="D32" s="9">
        <v>10.5</v>
      </c>
      <c r="E32" s="9">
        <v>0.6554500000000001</v>
      </c>
      <c r="F32" s="9">
        <v>0.5755250000000001</v>
      </c>
      <c r="G32" s="9">
        <v>0.76135</v>
      </c>
    </row>
    <row r="33">
      <c r="A33" s="9" t="s">
        <v>57</v>
      </c>
      <c r="B33" s="9">
        <v>153.0</v>
      </c>
      <c r="C33" s="9">
        <v>10.5</v>
      </c>
      <c r="D33" s="9">
        <v>11.5</v>
      </c>
      <c r="E33" s="9">
        <v>0.6523000000000001</v>
      </c>
      <c r="F33" s="9">
        <v>0.6494</v>
      </c>
      <c r="G33" s="9">
        <v>0.6599999999999999</v>
      </c>
    </row>
    <row r="34">
      <c r="A34" s="9" t="s">
        <v>56</v>
      </c>
      <c r="B34" s="9">
        <v>446.0</v>
      </c>
      <c r="C34" s="9">
        <v>11.0</v>
      </c>
      <c r="D34" s="9">
        <v>12.0</v>
      </c>
      <c r="E34" s="9">
        <v>0.65265</v>
      </c>
      <c r="F34" s="9">
        <v>0.6600250000000001</v>
      </c>
      <c r="G34" s="9">
        <v>0.64585</v>
      </c>
    </row>
    <row r="35">
      <c r="A35" s="9" t="s">
        <v>52</v>
      </c>
      <c r="B35" s="9">
        <v>587.0</v>
      </c>
      <c r="C35" s="9">
        <v>11.0</v>
      </c>
      <c r="D35" s="9">
        <v>11.0</v>
      </c>
      <c r="E35" s="9">
        <v>0.643175</v>
      </c>
      <c r="F35" s="9">
        <v>0.6705500000000001</v>
      </c>
      <c r="G35" s="9">
        <v>0.62</v>
      </c>
    </row>
    <row r="36">
      <c r="A36" s="9" t="s">
        <v>43</v>
      </c>
      <c r="B36" s="9">
        <v>194.0</v>
      </c>
      <c r="C36" s="9">
        <v>11.5</v>
      </c>
      <c r="D36" s="9">
        <v>11.5</v>
      </c>
      <c r="E36" s="9">
        <v>0.6378499999999999</v>
      </c>
      <c r="F36" s="9">
        <v>0.6706000000000001</v>
      </c>
      <c r="G36" s="9">
        <v>0.608725</v>
      </c>
    </row>
    <row r="37">
      <c r="A37" s="9" t="s">
        <v>42</v>
      </c>
      <c r="B37" s="9">
        <v>16.0</v>
      </c>
      <c r="C37" s="9">
        <v>13.0</v>
      </c>
      <c r="D37" s="9">
        <v>15.5</v>
      </c>
      <c r="E37" s="9">
        <v>0.529025</v>
      </c>
      <c r="F37" s="9">
        <v>0.78335</v>
      </c>
      <c r="G37" s="9">
        <v>0.41664999999999996</v>
      </c>
    </row>
    <row r="38">
      <c r="A38" s="9" t="s">
        <v>46</v>
      </c>
      <c r="B38" s="9">
        <v>89.0</v>
      </c>
      <c r="C38" s="9">
        <v>14.25</v>
      </c>
      <c r="D38" s="9">
        <v>15.5</v>
      </c>
      <c r="E38" s="9">
        <v>0.434525</v>
      </c>
      <c r="F38" s="9">
        <v>0.604175</v>
      </c>
      <c r="G38" s="9">
        <v>0.35</v>
      </c>
    </row>
    <row r="39">
      <c r="A39" s="9" t="s">
        <v>54</v>
      </c>
      <c r="B39" s="9">
        <v>49.0</v>
      </c>
      <c r="C39" s="9">
        <v>14.5</v>
      </c>
      <c r="D39" s="9">
        <v>15.5</v>
      </c>
      <c r="E39" s="9">
        <v>0.4697</v>
      </c>
      <c r="F39" s="9">
        <v>0.5</v>
      </c>
      <c r="G39" s="9">
        <v>0.45</v>
      </c>
    </row>
    <row r="40">
      <c r="A40" s="9" t="s">
        <v>58</v>
      </c>
      <c r="B40" s="9">
        <v>117.0</v>
      </c>
      <c r="C40" s="9">
        <v>15.5</v>
      </c>
      <c r="D40" s="9">
        <v>15.5</v>
      </c>
      <c r="E40" s="9">
        <v>0.45615</v>
      </c>
      <c r="F40" s="9">
        <v>0.460675</v>
      </c>
      <c r="G40" s="9">
        <v>0.4558749999999999</v>
      </c>
    </row>
    <row r="41">
      <c r="A41" s="9" t="s">
        <v>36</v>
      </c>
      <c r="B41" s="9">
        <v>286.29411764705884</v>
      </c>
      <c r="C41" s="9">
        <v>9.0</v>
      </c>
      <c r="D41" s="9">
        <v>9.0</v>
      </c>
      <c r="E41" s="9">
        <v>0.6440779411764705</v>
      </c>
      <c r="F41" s="9">
        <v>0.6811691176470587</v>
      </c>
      <c r="G41" s="9">
        <v>0.6277352941176473</v>
      </c>
    </row>
    <row r="45">
      <c r="A45" s="12" t="s">
        <v>40</v>
      </c>
      <c r="B45" s="12" t="s">
        <v>61</v>
      </c>
      <c r="C45" s="12" t="s">
        <v>62</v>
      </c>
      <c r="D45" s="12" t="s">
        <v>63</v>
      </c>
      <c r="E45" s="12" t="s">
        <v>35</v>
      </c>
      <c r="F45" s="12" t="s">
        <v>33</v>
      </c>
      <c r="G45" s="12" t="s">
        <v>34</v>
      </c>
    </row>
    <row r="46">
      <c r="A46" s="9" t="s">
        <v>45</v>
      </c>
      <c r="B46" s="9">
        <v>49.0</v>
      </c>
      <c r="C46" s="9">
        <v>2.0</v>
      </c>
      <c r="D46" s="9">
        <v>2.0</v>
      </c>
      <c r="E46" s="9">
        <v>0.786125</v>
      </c>
      <c r="F46" s="9">
        <v>0.8319500000000001</v>
      </c>
      <c r="G46" s="9">
        <v>0.750025</v>
      </c>
    </row>
    <row r="47">
      <c r="A47" s="9" t="s">
        <v>48</v>
      </c>
      <c r="B47" s="9">
        <v>26.0</v>
      </c>
      <c r="C47" s="9">
        <v>3.5</v>
      </c>
      <c r="D47" s="9">
        <v>3.0</v>
      </c>
      <c r="E47" s="9">
        <v>0.7485</v>
      </c>
      <c r="F47" s="9">
        <v>0.754175</v>
      </c>
      <c r="G47" s="9">
        <v>0.75</v>
      </c>
    </row>
    <row r="48">
      <c r="A48" s="9" t="s">
        <v>44</v>
      </c>
      <c r="B48" s="9">
        <v>65.0</v>
      </c>
      <c r="C48" s="9">
        <v>3.75</v>
      </c>
      <c r="D48" s="9">
        <v>2.5</v>
      </c>
      <c r="E48" s="9">
        <v>0.75825</v>
      </c>
      <c r="F48" s="9">
        <v>0.83435</v>
      </c>
      <c r="G48" s="9">
        <v>0.69645</v>
      </c>
    </row>
    <row r="49">
      <c r="A49" s="9" t="s">
        <v>47</v>
      </c>
      <c r="B49" s="9">
        <v>274.0</v>
      </c>
      <c r="C49" s="9">
        <v>5.5</v>
      </c>
      <c r="D49" s="9">
        <v>5.0</v>
      </c>
      <c r="E49" s="9">
        <v>0.710025</v>
      </c>
      <c r="F49" s="9">
        <v>0.6653</v>
      </c>
      <c r="G49" s="9">
        <v>0.7649999999999999</v>
      </c>
    </row>
    <row r="50">
      <c r="A50" s="9" t="s">
        <v>49</v>
      </c>
      <c r="B50" s="9">
        <v>95.0</v>
      </c>
      <c r="C50" s="9">
        <v>5.5</v>
      </c>
      <c r="D50" s="9">
        <v>5.0</v>
      </c>
      <c r="E50" s="9">
        <v>0.724825</v>
      </c>
      <c r="F50" s="9">
        <v>0.7871500000000001</v>
      </c>
      <c r="G50" s="9">
        <v>0.675</v>
      </c>
    </row>
    <row r="51">
      <c r="A51" s="9" t="s">
        <v>53</v>
      </c>
      <c r="B51" s="9">
        <v>897.0</v>
      </c>
      <c r="C51" s="9">
        <v>7.25</v>
      </c>
      <c r="D51" s="9">
        <v>6.5</v>
      </c>
      <c r="E51" s="9">
        <v>0.6846500000000001</v>
      </c>
      <c r="F51" s="9">
        <v>0.663275</v>
      </c>
      <c r="G51" s="9">
        <v>0.7098000000000001</v>
      </c>
    </row>
    <row r="52">
      <c r="A52" s="9" t="s">
        <v>50</v>
      </c>
      <c r="B52" s="9">
        <v>679.0</v>
      </c>
      <c r="C52" s="9">
        <v>7.75</v>
      </c>
      <c r="D52" s="9">
        <v>7.5</v>
      </c>
      <c r="E52" s="9">
        <v>0.6863999999999999</v>
      </c>
      <c r="F52" s="9">
        <v>0.72605</v>
      </c>
      <c r="G52" s="9">
        <v>0.65325</v>
      </c>
    </row>
    <row r="53">
      <c r="A53" s="9" t="s">
        <v>43</v>
      </c>
      <c r="B53" s="9">
        <v>194.0</v>
      </c>
      <c r="C53" s="9">
        <v>8.0</v>
      </c>
      <c r="D53" s="9">
        <v>7.5</v>
      </c>
      <c r="E53" s="9">
        <v>0.684325</v>
      </c>
      <c r="F53" s="9">
        <v>0.698025</v>
      </c>
      <c r="G53" s="9">
        <v>0.673925</v>
      </c>
    </row>
    <row r="54">
      <c r="A54" s="9" t="s">
        <v>51</v>
      </c>
      <c r="B54" s="9">
        <v>662.0</v>
      </c>
      <c r="C54" s="9">
        <v>8.5</v>
      </c>
      <c r="D54" s="9">
        <v>9.0</v>
      </c>
      <c r="E54" s="9">
        <v>0.6771250000000001</v>
      </c>
      <c r="F54" s="9">
        <v>0.670175</v>
      </c>
      <c r="G54" s="9">
        <v>0.687025</v>
      </c>
    </row>
    <row r="55">
      <c r="A55" s="9" t="s">
        <v>46</v>
      </c>
      <c r="B55" s="9">
        <v>89.0</v>
      </c>
      <c r="C55" s="9">
        <v>10.0</v>
      </c>
      <c r="D55" s="9">
        <v>11.0</v>
      </c>
      <c r="E55" s="9">
        <v>0.64585</v>
      </c>
      <c r="F55" s="9">
        <v>0.791675</v>
      </c>
      <c r="G55" s="9">
        <v>0.55</v>
      </c>
    </row>
    <row r="56">
      <c r="A56" s="9" t="s">
        <v>56</v>
      </c>
      <c r="B56" s="9">
        <v>446.0</v>
      </c>
      <c r="C56" s="9">
        <v>10.75</v>
      </c>
      <c r="D56" s="9">
        <v>11.5</v>
      </c>
      <c r="E56" s="9">
        <v>0.650575</v>
      </c>
      <c r="F56" s="9">
        <v>0.6615000000000001</v>
      </c>
      <c r="G56" s="9">
        <v>0.640625</v>
      </c>
    </row>
    <row r="57">
      <c r="A57" s="9" t="s">
        <v>52</v>
      </c>
      <c r="B57" s="9">
        <v>587.0</v>
      </c>
      <c r="C57" s="9">
        <v>11.75</v>
      </c>
      <c r="D57" s="9">
        <v>12.0</v>
      </c>
      <c r="E57" s="9">
        <v>0.6491750000000001</v>
      </c>
      <c r="F57" s="9">
        <v>0.640875</v>
      </c>
      <c r="G57" s="9">
        <v>0.6599999999999999</v>
      </c>
    </row>
    <row r="58">
      <c r="A58" s="9" t="s">
        <v>57</v>
      </c>
      <c r="B58" s="9">
        <v>153.0</v>
      </c>
      <c r="C58" s="9">
        <v>12.25</v>
      </c>
      <c r="D58" s="9">
        <v>12.5</v>
      </c>
      <c r="E58" s="9">
        <v>0.6031</v>
      </c>
      <c r="F58" s="9">
        <v>0.54975</v>
      </c>
      <c r="G58" s="9">
        <v>0.6699999999999999</v>
      </c>
    </row>
    <row r="59">
      <c r="A59" s="9" t="s">
        <v>42</v>
      </c>
      <c r="B59" s="9">
        <v>16.0</v>
      </c>
      <c r="C59" s="9">
        <v>13.0</v>
      </c>
      <c r="D59" s="9">
        <v>15.5</v>
      </c>
      <c r="E59" s="9">
        <v>0.529025</v>
      </c>
      <c r="F59" s="9">
        <v>0.78335</v>
      </c>
      <c r="G59" s="9">
        <v>0.41664999999999996</v>
      </c>
    </row>
    <row r="60">
      <c r="A60" s="9" t="s">
        <v>54</v>
      </c>
      <c r="B60" s="9">
        <v>49.0</v>
      </c>
      <c r="C60" s="9">
        <v>13.75</v>
      </c>
      <c r="D60" s="9">
        <v>14.5</v>
      </c>
      <c r="E60" s="9">
        <v>0.45304999999999995</v>
      </c>
      <c r="F60" s="9">
        <v>0.4625</v>
      </c>
      <c r="G60" s="9">
        <v>0.44999999999999996</v>
      </c>
    </row>
    <row r="61">
      <c r="A61" s="9" t="s">
        <v>55</v>
      </c>
      <c r="B61" s="9">
        <v>469.0</v>
      </c>
      <c r="C61" s="9">
        <v>14.0</v>
      </c>
      <c r="D61" s="9">
        <v>14.0</v>
      </c>
      <c r="E61" s="9">
        <v>0.6039</v>
      </c>
      <c r="F61" s="9">
        <v>0.530825</v>
      </c>
      <c r="G61" s="9">
        <v>0.70455</v>
      </c>
    </row>
    <row r="62">
      <c r="A62" s="9" t="s">
        <v>58</v>
      </c>
      <c r="B62" s="9">
        <v>117.0</v>
      </c>
      <c r="C62" s="9">
        <v>15.75</v>
      </c>
      <c r="D62" s="9">
        <v>16.0</v>
      </c>
      <c r="E62" s="9">
        <v>0.48865000000000003</v>
      </c>
      <c r="F62" s="9">
        <v>0.47050000000000003</v>
      </c>
      <c r="G62" s="9">
        <v>0.529425</v>
      </c>
    </row>
    <row r="63">
      <c r="A63" s="9" t="s">
        <v>36</v>
      </c>
      <c r="B63" s="9">
        <v>286.29411764705884</v>
      </c>
      <c r="C63" s="9">
        <v>9.0</v>
      </c>
      <c r="D63" s="9">
        <v>9.0</v>
      </c>
      <c r="E63" s="9">
        <v>0.6519735294117649</v>
      </c>
      <c r="F63" s="9">
        <v>0.6777308823529411</v>
      </c>
      <c r="G63" s="9">
        <v>0.645983823529412</v>
      </c>
    </row>
  </sheetData>
  <drawing r:id="rId1"/>
</worksheet>
</file>